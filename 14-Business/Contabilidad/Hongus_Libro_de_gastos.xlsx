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662a9caef1ea59f/Escritorio/Programacion/Hongus/hongus-knowledge-base/14-Business/Contabilidad/"/>
    </mc:Choice>
  </mc:AlternateContent>
  <xr:revisionPtr revIDLastSave="14" documentId="11_B72AB6F56A49890A923BFE206995EFEA006C2693" xr6:coauthVersionLast="47" xr6:coauthVersionMax="47" xr10:uidLastSave="{222C1A7C-80C9-4502-B6AE-21B85FB32B89}"/>
  <bookViews>
    <workbookView minimized="1" xWindow="3510" yWindow="3510" windowWidth="21600" windowHeight="11295" xr2:uid="{00000000-000D-0000-FFFF-FFFF00000000}"/>
  </bookViews>
  <sheets>
    <sheet name="Gastos Hong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5" i="1" l="1"/>
  <c r="I115" i="1"/>
  <c r="O114" i="1"/>
  <c r="I114" i="1"/>
  <c r="O113" i="1"/>
  <c r="I113" i="1"/>
  <c r="O112" i="1"/>
  <c r="I112" i="1"/>
  <c r="O111" i="1"/>
  <c r="I111" i="1"/>
  <c r="O110" i="1"/>
  <c r="I110" i="1"/>
  <c r="O109" i="1"/>
  <c r="I109" i="1"/>
  <c r="O108" i="1"/>
  <c r="I108" i="1"/>
  <c r="O107" i="1"/>
  <c r="I107" i="1"/>
  <c r="O106" i="1"/>
  <c r="I106" i="1"/>
  <c r="O105" i="1"/>
  <c r="I105" i="1"/>
  <c r="O104" i="1"/>
  <c r="I104" i="1"/>
  <c r="O103" i="1"/>
  <c r="I103" i="1"/>
  <c r="O102" i="1"/>
  <c r="I102" i="1"/>
  <c r="O101" i="1"/>
  <c r="I101" i="1"/>
  <c r="O100" i="1"/>
  <c r="I100" i="1"/>
  <c r="O99" i="1"/>
  <c r="I99" i="1"/>
  <c r="O98" i="1"/>
  <c r="I98" i="1"/>
  <c r="O97" i="1"/>
  <c r="I97" i="1"/>
  <c r="O96" i="1"/>
  <c r="I96" i="1"/>
  <c r="O95" i="1"/>
  <c r="I95" i="1"/>
  <c r="O94" i="1"/>
  <c r="I94" i="1"/>
  <c r="O93" i="1"/>
  <c r="I93" i="1"/>
  <c r="O92" i="1"/>
  <c r="I92" i="1"/>
  <c r="O91" i="1"/>
  <c r="I91" i="1"/>
  <c r="O90" i="1"/>
  <c r="I90" i="1"/>
  <c r="O89" i="1"/>
  <c r="I89" i="1"/>
  <c r="O88" i="1"/>
  <c r="I88" i="1"/>
  <c r="O87" i="1"/>
  <c r="I87" i="1"/>
  <c r="O86" i="1"/>
  <c r="I86" i="1"/>
  <c r="O85" i="1"/>
  <c r="I85" i="1"/>
  <c r="O84" i="1"/>
  <c r="I84" i="1"/>
  <c r="O83" i="1"/>
  <c r="I83" i="1"/>
  <c r="O82" i="1"/>
  <c r="I82" i="1"/>
  <c r="O81" i="1"/>
  <c r="I81" i="1"/>
  <c r="O80" i="1"/>
  <c r="I80" i="1"/>
  <c r="O79" i="1"/>
  <c r="I79" i="1"/>
  <c r="O78" i="1"/>
  <c r="I78" i="1"/>
  <c r="O77" i="1"/>
  <c r="I77" i="1"/>
  <c r="O76" i="1"/>
  <c r="I76" i="1"/>
  <c r="O75" i="1"/>
  <c r="I75" i="1"/>
  <c r="O74" i="1"/>
  <c r="I74" i="1"/>
  <c r="O73" i="1"/>
  <c r="I73" i="1"/>
  <c r="O72" i="1"/>
  <c r="I72" i="1"/>
  <c r="O71" i="1"/>
  <c r="I71" i="1"/>
  <c r="O70" i="1"/>
  <c r="I70" i="1"/>
  <c r="O69" i="1"/>
  <c r="I69" i="1"/>
  <c r="O68" i="1"/>
  <c r="I68" i="1"/>
  <c r="O67" i="1"/>
  <c r="I67" i="1"/>
  <c r="O66" i="1"/>
  <c r="I66" i="1"/>
  <c r="O65" i="1"/>
  <c r="I65" i="1"/>
  <c r="O64" i="1"/>
  <c r="I64" i="1"/>
  <c r="O63" i="1"/>
  <c r="I63" i="1"/>
  <c r="O62" i="1"/>
  <c r="I62" i="1"/>
  <c r="O61" i="1"/>
  <c r="I61" i="1"/>
  <c r="O60" i="1"/>
  <c r="I60" i="1"/>
  <c r="O59" i="1"/>
  <c r="I59" i="1"/>
  <c r="O58" i="1"/>
  <c r="I58" i="1"/>
  <c r="O57" i="1"/>
  <c r="I57" i="1"/>
  <c r="O56" i="1"/>
  <c r="I56" i="1"/>
  <c r="O55" i="1"/>
  <c r="I55" i="1"/>
  <c r="O54" i="1"/>
  <c r="I54" i="1"/>
  <c r="O53" i="1"/>
  <c r="I53" i="1"/>
  <c r="O52" i="1"/>
  <c r="I52" i="1"/>
  <c r="O51" i="1"/>
  <c r="I51" i="1"/>
  <c r="O50" i="1"/>
  <c r="I50" i="1"/>
  <c r="O49" i="1"/>
  <c r="I49" i="1"/>
  <c r="O48" i="1"/>
  <c r="I48" i="1"/>
  <c r="O47" i="1"/>
  <c r="I47" i="1"/>
  <c r="O46" i="1"/>
  <c r="I46" i="1"/>
  <c r="O45" i="1"/>
  <c r="I45" i="1"/>
  <c r="O44" i="1"/>
  <c r="I44" i="1"/>
  <c r="O43" i="1"/>
  <c r="I43" i="1"/>
  <c r="O42" i="1"/>
  <c r="I42" i="1"/>
  <c r="O41" i="1"/>
  <c r="I41" i="1"/>
  <c r="O40" i="1"/>
  <c r="I40" i="1"/>
  <c r="O39" i="1"/>
  <c r="I39" i="1"/>
  <c r="O38" i="1"/>
  <c r="I38" i="1"/>
  <c r="Q37" i="1"/>
  <c r="O37" i="1"/>
  <c r="I37" i="1"/>
  <c r="Q36" i="1"/>
  <c r="O36" i="1"/>
  <c r="I36" i="1"/>
  <c r="Q35" i="1"/>
  <c r="O35" i="1"/>
  <c r="I35" i="1"/>
  <c r="Q34" i="1"/>
  <c r="O34" i="1"/>
  <c r="I34" i="1"/>
  <c r="Q33" i="1"/>
  <c r="O33" i="1"/>
  <c r="I33" i="1"/>
  <c r="Q32" i="1"/>
  <c r="O32" i="1"/>
  <c r="I32" i="1"/>
  <c r="Q31" i="1"/>
  <c r="O31" i="1"/>
  <c r="I31" i="1"/>
  <c r="Q30" i="1"/>
  <c r="T30" i="1" s="1"/>
  <c r="O30" i="1"/>
  <c r="I30" i="1"/>
  <c r="Q29" i="1"/>
  <c r="O29" i="1"/>
  <c r="I29" i="1"/>
  <c r="Q28" i="1"/>
  <c r="O28" i="1"/>
  <c r="I28" i="1"/>
  <c r="Q27" i="1"/>
  <c r="O27" i="1"/>
  <c r="I27" i="1"/>
  <c r="Q26" i="1"/>
  <c r="T26" i="1" s="1"/>
  <c r="O26" i="1"/>
  <c r="I26" i="1"/>
  <c r="O25" i="1"/>
  <c r="I25" i="1"/>
  <c r="O24" i="1"/>
  <c r="I24" i="1"/>
  <c r="O23" i="1"/>
  <c r="I23" i="1"/>
  <c r="O22" i="1"/>
  <c r="I22" i="1"/>
  <c r="O21" i="1"/>
  <c r="I21" i="1"/>
  <c r="O20" i="1"/>
  <c r="I20" i="1"/>
  <c r="O19" i="1"/>
  <c r="I19" i="1"/>
  <c r="O18" i="1"/>
  <c r="I18" i="1"/>
  <c r="O17" i="1"/>
  <c r="I17" i="1"/>
  <c r="K10" i="1"/>
  <c r="I16" i="1"/>
  <c r="H10" i="1"/>
  <c r="E10" i="1"/>
  <c r="B10" i="1"/>
  <c r="K6" i="1"/>
  <c r="E6" i="1"/>
  <c r="B6" i="1"/>
  <c r="H6" i="1" l="1"/>
  <c r="T27" i="1"/>
  <c r="T31" i="1"/>
  <c r="T35" i="1"/>
  <c r="T34" i="1"/>
  <c r="T32" i="1"/>
  <c r="T36" i="1"/>
  <c r="T28" i="1"/>
  <c r="T29" i="1"/>
  <c r="T33" i="1"/>
  <c r="T37" i="1"/>
  <c r="R26" i="1"/>
  <c r="R28" i="1"/>
  <c r="R30" i="1"/>
  <c r="R32" i="1"/>
  <c r="R34" i="1"/>
  <c r="R36" i="1"/>
  <c r="S26" i="1"/>
  <c r="S28" i="1"/>
  <c r="S30" i="1"/>
  <c r="S32" i="1"/>
  <c r="S34" i="1"/>
  <c r="S36" i="1"/>
  <c r="R37" i="1"/>
  <c r="R27" i="1"/>
  <c r="R29" i="1"/>
  <c r="R31" i="1"/>
  <c r="R33" i="1"/>
  <c r="R35" i="1"/>
  <c r="S27" i="1"/>
  <c r="S29" i="1"/>
  <c r="S31" i="1"/>
  <c r="S33" i="1"/>
  <c r="S35" i="1"/>
  <c r="S37" i="1"/>
</calcChain>
</file>

<file path=xl/sharedStrings.xml><?xml version="1.0" encoding="utf-8"?>
<sst xmlns="http://schemas.openxmlformats.org/spreadsheetml/2006/main" count="73" uniqueCount="71">
  <si>
    <t>Hongus · Libro de gastos</t>
  </si>
  <si>
    <t>Configuración</t>
  </si>
  <si>
    <t>Registro en MXN y USD. Resumen del año seleccionado.</t>
  </si>
  <si>
    <t>Año del resumen</t>
  </si>
  <si>
    <t>GASTOS EN MXN</t>
  </si>
  <si>
    <t>GASTOS EN USD</t>
  </si>
  <si>
    <t>TOTAL CONVERTIDO A MXN</t>
  </si>
  <si>
    <t>USD SIN TIPO DE CAMBIO</t>
  </si>
  <si>
    <t>Peso mexicano</t>
  </si>
  <si>
    <t>MXN</t>
  </si>
  <si>
    <t>Dólar estadounidense</t>
  </si>
  <si>
    <t>USD</t>
  </si>
  <si>
    <t>Capacidad</t>
  </si>
  <si>
    <t>100 gastos</t>
  </si>
  <si>
    <t>PAGADOS · MXN CONVERTIDOS</t>
  </si>
  <si>
    <t>PENDIENTES · MXN CONVERTIDOS</t>
  </si>
  <si>
    <t>GASTOS DEL AÑO</t>
  </si>
  <si>
    <t>REGISTROS POR REVISAR</t>
  </si>
  <si>
    <t>Categorías editables</t>
  </si>
  <si>
    <t>Software y suscripciones</t>
  </si>
  <si>
    <t>Servidores y dominio</t>
  </si>
  <si>
    <t>Registro de gastos</t>
  </si>
  <si>
    <t>Desarrollo</t>
  </si>
  <si>
    <t>Llena B:H y J:N. En USD captura MXN por 1 USD; en MXN deja el cambio vacío. I y O se calculan. Importes con impuestos incluidos.</t>
  </si>
  <si>
    <t>Diseño</t>
  </si>
  <si>
    <t>Fecha del gasto</t>
  </si>
  <si>
    <t>Proveedor</t>
  </si>
  <si>
    <t>Categoría</t>
  </si>
  <si>
    <t>Concepto</t>
  </si>
  <si>
    <t>Moneda</t>
  </si>
  <si>
    <t>Importe original</t>
  </si>
  <si>
    <t>MXN por 1 USD</t>
  </si>
  <si>
    <t>Importe en MXN</t>
  </si>
  <si>
    <t>Estado de pago</t>
  </si>
  <si>
    <t>Medio de pago</t>
  </si>
  <si>
    <t>Responsable</t>
  </si>
  <si>
    <t>Comprobante / enlace</t>
  </si>
  <si>
    <t>Notas</t>
  </si>
  <si>
    <t>Revisión</t>
  </si>
  <si>
    <t>Marketing</t>
  </si>
  <si>
    <t>Servicios profesionales</t>
  </si>
  <si>
    <t>Equipo y materiales</t>
  </si>
  <si>
    <t>Formación</t>
  </si>
  <si>
    <t>Transporte</t>
  </si>
  <si>
    <t>Operación</t>
  </si>
  <si>
    <t>Aportaciones a MICE-LO</t>
  </si>
  <si>
    <t>Otros</t>
  </si>
  <si>
    <t>Resumen mensual</t>
  </si>
  <si>
    <t>Mes</t>
  </si>
  <si>
    <t>Original MXN</t>
  </si>
  <si>
    <t>Original USD</t>
  </si>
  <si>
    <t>Convertido MXN</t>
  </si>
  <si>
    <t>Uso</t>
  </si>
  <si>
    <t>Una fila por gasto, pagado o pendiente.</t>
  </si>
  <si>
    <t>Fecha = fecha del gasto, no del pago.</t>
  </si>
  <si>
    <t>Captura importes en su moneda original.</t>
  </si>
  <si>
    <t>Tipo de cambio: el aplicado a ese gasto.</t>
  </si>
  <si>
    <t>No mezcles USD y MXN sin convertir.</t>
  </si>
  <si>
    <t>Resumen: enero a diciembre del año elegido.</t>
  </si>
  <si>
    <t>Revisión cuenta registros de todos los años.</t>
  </si>
  <si>
    <t>Antes de usar totales, corrige las revisiones.</t>
  </si>
  <si>
    <t>Sin gastos registrados: totales en cero.</t>
  </si>
  <si>
    <t>Captura hasta la fila 115.</t>
  </si>
  <si>
    <t>Figma</t>
  </si>
  <si>
    <t>Suscripcion de software</t>
  </si>
  <si>
    <t>399..35</t>
  </si>
  <si>
    <t>Pagado</t>
  </si>
  <si>
    <t>Tarjeta</t>
  </si>
  <si>
    <t xml:space="preserve">Alan Michel </t>
  </si>
  <si>
    <t>ticket digital bancario</t>
  </si>
  <si>
    <t>primer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</si>
</sst>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\ &quot;days&quot;"/>
    <numFmt numFmtId="166" formatCode="\$#,##0;[Red]\(\$#,##0\);\-"/>
    <numFmt numFmtId="170" formatCode="#,##0.00;\(#,##0.00\);&quot;—&quot;"/>
    <numFmt numFmtId="171" formatCode="0.0000"/>
    <numFmt numFmtId="172" formatCode="mmm"/>
  </numFmts>
  <fonts count="20" x14ac:knownFonts="1">
    <font>
      <sz val="11"/>
      <color rgb="FF000000"/>
      <name val="Aptos Narrow"/>
    </font>
    <font>
      <b/>
      <sz val="14"/>
      <color rgb="FFFFFFFF"/>
      <name val="Arial"/>
    </font>
    <font>
      <sz val="11"/>
      <color theme="1"/>
      <name val="Arial"/>
    </font>
    <font>
      <b/>
      <sz val="10"/>
      <color rgb="FFFFFFFF"/>
      <name val="Arial"/>
    </font>
    <font>
      <b/>
      <sz val="10"/>
      <color rgb="FFF6FBF8"/>
      <name val="Arial"/>
    </font>
    <font>
      <b/>
      <sz val="9"/>
      <color rgb="FF17212B"/>
      <name val="Arial"/>
    </font>
    <font>
      <b/>
      <sz val="9"/>
      <color rgb="FF5B6570"/>
      <name val="Arial"/>
    </font>
    <font>
      <b/>
      <sz val="16"/>
      <color rgb="FF0B3D2E"/>
      <name val="Arial"/>
    </font>
    <font>
      <b/>
      <sz val="9"/>
      <color rgb="FFFFFFFF"/>
      <name val="Arial"/>
    </font>
    <font>
      <sz val="9"/>
      <color rgb="FF17212B"/>
      <name val="Arial"/>
    </font>
    <font>
      <sz val="9"/>
      <color rgb="FF0432FF"/>
      <name val="Arial"/>
    </font>
    <font>
      <sz val="11"/>
      <name val="Arial"/>
    </font>
    <font>
      <sz val="11"/>
      <color rgb="FF000000"/>
      <name val="Arial"/>
    </font>
    <font>
      <sz val="10"/>
      <color rgb="FF17212B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102A22"/>
      <name val="Arial"/>
    </font>
    <font>
      <b/>
      <sz val="16"/>
      <color rgb="FF102A22"/>
      <name val="Arial"/>
    </font>
    <font>
      <sz val="10"/>
      <color rgb="FF102A22"/>
      <name val="Arial"/>
    </font>
    <font>
      <sz val="10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45C43"/>
      </patternFill>
    </fill>
    <fill>
      <patternFill patternType="solid">
        <fgColor rgb="FFF5F8F2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D9E0E6"/>
      </left>
      <right/>
      <top style="thin">
        <color rgb="FFD9E0E6"/>
      </top>
      <bottom style="thin">
        <color rgb="FFD9E0E6"/>
      </bottom>
      <diagonal/>
    </border>
    <border>
      <left/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  <diagonal/>
    </border>
    <border>
      <left/>
      <right/>
      <top style="thin">
        <color rgb="FFD9E0E6"/>
      </top>
      <bottom style="thin">
        <color rgb="FFD9E0E6"/>
      </bottom>
      <diagonal/>
    </border>
    <border>
      <left style="thin">
        <color rgb="FFD9E0E6"/>
      </left>
      <right/>
      <top style="thin">
        <color rgb="FFD9E0E6"/>
      </top>
      <bottom/>
      <diagonal/>
    </border>
    <border>
      <left/>
      <right/>
      <top style="thin">
        <color rgb="FFD9E0E6"/>
      </top>
      <bottom/>
      <diagonal/>
    </border>
    <border>
      <left/>
      <right style="thin">
        <color rgb="FFD9E0E6"/>
      </right>
      <top style="thin">
        <color rgb="FFD9E0E6"/>
      </top>
      <bottom/>
      <diagonal/>
    </border>
    <border>
      <left style="thin">
        <color rgb="FFD9E0E6"/>
      </left>
      <right/>
      <top/>
      <bottom style="thin">
        <color rgb="FFD9E0E6"/>
      </bottom>
      <diagonal/>
    </border>
    <border>
      <left/>
      <right/>
      <top/>
      <bottom style="thin">
        <color rgb="FFD9E0E6"/>
      </bottom>
      <diagonal/>
    </border>
    <border>
      <left/>
      <right style="thin">
        <color rgb="FFD9E0E6"/>
      </right>
      <top/>
      <bottom style="thin">
        <color rgb="FFD9E0E6"/>
      </bottom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8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5" fontId="10" fillId="5" borderId="3" xfId="0" applyNumberFormat="1" applyFont="1" applyFill="1" applyBorder="1" applyAlignment="1">
      <alignment horizontal="center" vertical="center"/>
    </xf>
    <xf numFmtId="166" fontId="10" fillId="5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2" fillId="0" borderId="0" xfId="0" applyFont="1"/>
    <xf numFmtId="0" fontId="11" fillId="0" borderId="2" xfId="0" applyFont="1" applyBorder="1" applyAlignment="1">
      <alignment vertical="center"/>
    </xf>
    <xf numFmtId="0" fontId="9" fillId="6" borderId="0" xfId="0" applyFont="1" applyFill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right" vertical="center" wrapText="1"/>
    </xf>
    <xf numFmtId="0" fontId="15" fillId="7" borderId="0" xfId="0" applyFont="1" applyFill="1"/>
    <xf numFmtId="0" fontId="14" fillId="9" borderId="0" xfId="0" applyFont="1" applyFill="1"/>
    <xf numFmtId="0" fontId="13" fillId="9" borderId="11" xfId="0" applyFont="1" applyFill="1" applyBorder="1" applyAlignment="1">
      <alignment horizontal="right" vertical="center" wrapText="1"/>
    </xf>
    <xf numFmtId="14" fontId="15" fillId="7" borderId="11" xfId="0" applyNumberFormat="1" applyFont="1" applyFill="1" applyBorder="1" applyAlignment="1">
      <alignment horizontal="left" vertical="center" wrapText="1"/>
    </xf>
    <xf numFmtId="14" fontId="15" fillId="7" borderId="0" xfId="0" applyNumberFormat="1" applyFont="1" applyFill="1"/>
    <xf numFmtId="170" fontId="15" fillId="7" borderId="11" xfId="0" applyNumberFormat="1" applyFont="1" applyFill="1" applyBorder="1" applyAlignment="1">
      <alignment horizontal="center" vertical="center" wrapText="1"/>
    </xf>
    <xf numFmtId="170" fontId="13" fillId="9" borderId="11" xfId="0" applyNumberFormat="1" applyFont="1" applyFill="1" applyBorder="1" applyAlignment="1">
      <alignment horizontal="left" vertical="center" wrapText="1"/>
    </xf>
    <xf numFmtId="170" fontId="15" fillId="7" borderId="0" xfId="0" applyNumberFormat="1" applyFont="1" applyFill="1"/>
    <xf numFmtId="170" fontId="14" fillId="9" borderId="0" xfId="0" applyNumberFormat="1" applyFont="1" applyFill="1"/>
    <xf numFmtId="171" fontId="15" fillId="7" borderId="11" xfId="0" applyNumberFormat="1" applyFont="1" applyFill="1" applyBorder="1" applyAlignment="1">
      <alignment horizontal="left" vertical="center" wrapText="1"/>
    </xf>
    <xf numFmtId="171" fontId="15" fillId="7" borderId="0" xfId="0" applyNumberFormat="1" applyFont="1" applyFill="1"/>
    <xf numFmtId="0" fontId="16" fillId="10" borderId="11" xfId="0" applyFont="1" applyFill="1" applyBorder="1" applyAlignment="1">
      <alignment horizontal="left" vertical="center"/>
    </xf>
    <xf numFmtId="0" fontId="16" fillId="10" borderId="0" xfId="0" applyFont="1" applyFill="1" applyAlignment="1">
      <alignment vertical="center"/>
    </xf>
    <xf numFmtId="0" fontId="16" fillId="10" borderId="0" xfId="0" applyFont="1" applyFill="1" applyAlignment="1">
      <alignment horizontal="left" vertical="center"/>
    </xf>
    <xf numFmtId="0" fontId="16" fillId="10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/>
    <xf numFmtId="172" fontId="18" fillId="0" borderId="0" xfId="0" applyNumberFormat="1" applyFont="1" applyAlignment="1">
      <alignment vertical="center"/>
    </xf>
    <xf numFmtId="170" fontId="18" fillId="0" borderId="0" xfId="0" applyNumberFormat="1" applyFont="1" applyAlignment="1">
      <alignment vertical="center"/>
    </xf>
    <xf numFmtId="0" fontId="19" fillId="8" borderId="0" xfId="0" applyFont="1" applyFill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170" fontId="7" fillId="6" borderId="5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1" fontId="7" fillId="6" borderId="5" xfId="0" applyNumberFormat="1" applyFont="1" applyFill="1" applyBorder="1" applyAlignment="1">
      <alignment horizontal="center" vertical="center"/>
    </xf>
    <xf numFmtId="1" fontId="17" fillId="6" borderId="5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CE4D6"/>
        </patternFill>
      </fill>
    </dxf>
    <dxf>
      <font>
        <b/>
        <color rgb="FF2E7D32"/>
      </font>
      <fill>
        <patternFill>
          <bgColor rgb="FFD9EAD3"/>
        </patternFill>
      </fill>
    </dxf>
    <dxf>
      <font>
        <b/>
        <color rgb="FF8A6400"/>
      </font>
      <fill>
        <patternFill>
          <bgColor rgb="FFFFF2CC"/>
        </patternFill>
      </fill>
    </dxf>
    <dxf>
      <font>
        <b/>
        <color rgb="FFB3261E"/>
      </font>
      <fill>
        <patternFill>
          <bgColor rgb="FFF4CCCC"/>
        </patternFill>
      </fill>
    </dxf>
    <dxf>
      <font>
        <b/>
        <color rgb="FF5B6570"/>
      </font>
      <fill>
        <patternFill>
          <bgColor rgb="FFE5E7EB"/>
        </patternFill>
      </fill>
    </dxf>
    <dxf>
      <font>
        <b/>
        <color rgb="FF2E7D32"/>
      </font>
      <fill>
        <patternFill>
          <bgColor rgb="FFD9EAD3"/>
        </patternFill>
      </fill>
    </dxf>
    <dxf>
      <font>
        <b/>
        <color rgb="FFB3261E"/>
      </font>
      <fill>
        <patternFill>
          <bgColor rgb="FFF4CCCC"/>
        </patternFill>
      </fill>
    </dxf>
    <dxf>
      <font>
        <b/>
        <color rgb="FF5B6570"/>
      </font>
      <fill>
        <patternFill>
          <bgColor rgb="FFE5E7EB"/>
        </patternFill>
      </fill>
    </dxf>
    <dxf>
      <font>
        <b/>
        <color rgb="FF174A7E"/>
      </font>
      <fill>
        <patternFill>
          <bgColor rgb="FFDCEAF7"/>
        </patternFill>
      </fill>
    </dxf>
    <dxf>
      <font>
        <b/>
        <color rgb="FF2E7D32"/>
      </font>
      <fill>
        <patternFill>
          <bgColor rgb="FFD9EAD3"/>
        </patternFill>
      </fill>
    </dxf>
    <dxf>
      <font>
        <b/>
        <color rgb="FFB3261E"/>
      </font>
      <fill>
        <patternFill>
          <bgColor rgb="FFE4C5C7"/>
        </patternFill>
      </fill>
    </dxf>
    <dxf>
      <font>
        <b/>
        <color rgb="FF0B3D2E"/>
      </font>
      <fill>
        <patternFill>
          <bgColor rgb="FF66BB8A"/>
        </patternFill>
      </fill>
    </dxf>
    <dxf>
      <font>
        <b/>
        <color rgb="FFA64B00"/>
      </font>
      <fill>
        <patternFill>
          <bgColor rgb="FFF6C9A8"/>
        </patternFill>
      </fill>
    </dxf>
    <dxf>
      <font>
        <b/>
        <color rgb="FF8A6400"/>
      </font>
      <fill>
        <patternFill>
          <bgColor rgb="FFF6E7B8"/>
        </patternFill>
      </fill>
    </dxf>
    <dxf>
      <font>
        <b/>
        <color rgb="FF0B3D2E"/>
      </font>
      <fill>
        <patternFill>
          <bgColor rgb="FF9ACFB5"/>
        </patternFill>
      </fill>
    </dxf>
    <dxf>
      <font>
        <b/>
        <color rgb="FF0B3D2E"/>
      </font>
      <fill>
        <patternFill>
          <bgColor rgb="FFB5DEC8"/>
        </patternFill>
      </fill>
    </dxf>
    <dxf>
      <font>
        <b/>
        <color rgb="FF0B3D2E"/>
      </font>
      <fill>
        <patternFill>
          <bgColor rgb="FFCDEBDD"/>
        </patternFill>
      </fill>
    </dxf>
    <dxf>
      <font>
        <b/>
        <color rgb="FF0B3D2E"/>
      </font>
      <fill>
        <patternFill>
          <bgColor rgb="FFDDEF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stosHongus" displayName="GastosHongus" ref="B15:O115" totalsRowShown="0">
  <tableColumns count="14">
    <tableColumn id="1" xr3:uid="{00000000-0010-0000-0000-000001000000}" name="Fecha del gasto"/>
    <tableColumn id="2" xr3:uid="{00000000-0010-0000-0000-000002000000}" name="Proveedor"/>
    <tableColumn id="3" xr3:uid="{00000000-0010-0000-0000-000003000000}" name="Categoría"/>
    <tableColumn id="4" xr3:uid="{00000000-0010-0000-0000-000004000000}" name="Concepto"/>
    <tableColumn id="5" xr3:uid="{00000000-0010-0000-0000-000005000000}" name="Moneda"/>
    <tableColumn id="6" xr3:uid="{00000000-0010-0000-0000-000006000000}" name="Importe original"/>
    <tableColumn id="7" xr3:uid="{00000000-0010-0000-0000-000007000000}" name="MXN por 1 USD"/>
    <tableColumn id="8" xr3:uid="{00000000-0010-0000-0000-000008000000}" name="Importe en MXN"/>
    <tableColumn id="9" xr3:uid="{00000000-0010-0000-0000-000009000000}" name="Estado de pago"/>
    <tableColumn id="10" xr3:uid="{00000000-0010-0000-0000-00000A000000}" name="Medio de pago"/>
    <tableColumn id="11" xr3:uid="{00000000-0010-0000-0000-00000B000000}" name="Responsable"/>
    <tableColumn id="12" xr3:uid="{00000000-0010-0000-0000-00000C000000}" name="Comprobante / enlace"/>
    <tableColumn id="13" xr3:uid="{00000000-0010-0000-0000-00000D000000}" name="Notas"/>
    <tableColumn id="14" xr3:uid="{00000000-0010-0000-0000-00000E000000}" name="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999"/>
  <sheetViews>
    <sheetView showGridLines="0" tabSelected="1" workbookViewId="0">
      <pane xSplit="3" ySplit="15" topLeftCell="D16" activePane="bottomRight" state="frozen"/>
      <selection pane="topRight"/>
      <selection pane="bottomLeft"/>
      <selection pane="bottomRight" activeCell="O17" sqref="O17"/>
    </sheetView>
  </sheetViews>
  <sheetFormatPr baseColWidth="10" defaultColWidth="12.7109375" defaultRowHeight="15" x14ac:dyDescent="0.25"/>
  <cols>
    <col min="1" max="1" width="3.28515625" style="2" customWidth="1"/>
    <col min="2" max="2" width="15" style="2" customWidth="1"/>
    <col min="3" max="3" width="23" style="2" customWidth="1"/>
    <col min="4" max="4" width="25" style="2" customWidth="1"/>
    <col min="5" max="5" width="32" style="2" customWidth="1"/>
    <col min="6" max="6" width="11" style="2" customWidth="1"/>
    <col min="7" max="7" width="19" customWidth="1"/>
    <col min="8" max="8" width="18" customWidth="1"/>
    <col min="9" max="9" width="20" style="2" customWidth="1"/>
    <col min="10" max="10" width="18" style="2" customWidth="1"/>
    <col min="11" max="11" width="20" style="2" customWidth="1"/>
    <col min="12" max="12" width="19" customWidth="1"/>
    <col min="13" max="13" width="28" customWidth="1"/>
    <col min="14" max="14" width="30" style="2" customWidth="1"/>
    <col min="15" max="15" width="24" style="2" customWidth="1"/>
    <col min="16" max="16" width="3" style="2" customWidth="1"/>
    <col min="17" max="17" width="29" style="2" customWidth="1"/>
    <col min="18" max="19" width="18" style="2" customWidth="1"/>
    <col min="20" max="20" width="22" customWidth="1"/>
    <col min="21" max="27" width="8.85546875" style="2" customWidth="1"/>
    <col min="28" max="16384" width="12.7109375" style="2"/>
  </cols>
  <sheetData>
    <row r="2" spans="2:20" ht="24" customHeight="1" x14ac:dyDescent="0.2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"/>
      <c r="Q2" s="39" t="s">
        <v>1</v>
      </c>
      <c r="R2" s="38"/>
      <c r="S2" s="38"/>
      <c r="T2" s="7"/>
    </row>
    <row r="3" spans="2:20" ht="24" customHeight="1" x14ac:dyDescent="0.2">
      <c r="B3" s="40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"/>
      <c r="Q3" s="38"/>
      <c r="R3" s="38"/>
      <c r="S3" s="38"/>
      <c r="T3" s="7"/>
    </row>
    <row r="4" spans="2:20" ht="13.5" customHeight="1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5" t="s">
        <v>3</v>
      </c>
      <c r="R4" s="36"/>
      <c r="S4" s="10">
        <v>2026</v>
      </c>
      <c r="T4" s="7"/>
    </row>
    <row r="5" spans="2:20" ht="19.5" customHeight="1" x14ac:dyDescent="0.2">
      <c r="B5" s="41" t="s">
        <v>4</v>
      </c>
      <c r="C5" s="42"/>
      <c r="D5" s="36"/>
      <c r="E5" s="41" t="s">
        <v>5</v>
      </c>
      <c r="F5" s="42"/>
      <c r="G5" s="36"/>
      <c r="H5" s="41" t="s">
        <v>6</v>
      </c>
      <c r="I5" s="42"/>
      <c r="J5" s="36"/>
      <c r="K5" s="41" t="s">
        <v>7</v>
      </c>
      <c r="L5" s="42"/>
      <c r="M5" s="36"/>
      <c r="N5" s="3"/>
      <c r="O5" s="3"/>
      <c r="P5" s="3"/>
      <c r="Q5" s="35" t="s">
        <v>8</v>
      </c>
      <c r="R5" s="36"/>
      <c r="S5" s="4" t="s">
        <v>9</v>
      </c>
      <c r="T5" s="7"/>
    </row>
    <row r="6" spans="2:20" ht="24.75" customHeight="1" x14ac:dyDescent="0.2">
      <c r="B6" s="43">
        <f>SUMIFS($G$16:$G$115,$F$16:$F$115,"MXN",$B$16:$B$115,"&gt;="&amp;DATE($S$4,1,1),$B$16:$B$115,"&lt;"&amp;DATE($S$4+1,1,1))</f>
        <v>0</v>
      </c>
      <c r="C6" s="44"/>
      <c r="D6" s="45"/>
      <c r="E6" s="43">
        <f>SUMIFS($G$16:$G$115,$F$16:$F$115,"USD",$B$16:$B$115,"&gt;="&amp;DATE($S$4,1,1),$B$16:$B$115,"&lt;"&amp;DATE($S$4+1,1,1))</f>
        <v>0</v>
      </c>
      <c r="F6" s="44"/>
      <c r="G6" s="45"/>
      <c r="H6" s="43">
        <f>IF(K6&gt;0,"Falta cambio",SUMIFS($I$16:$I$115,$B$16:$B$115,"&gt;="&amp;DATE($S$4,1,1),$B$16:$B$115,"&lt;"&amp;DATE($S$4+1,1,1)))</f>
        <v>0</v>
      </c>
      <c r="I6" s="44"/>
      <c r="J6" s="45"/>
      <c r="K6" s="49">
        <f>COUNTIFS($O$16:$O$115,"Falta cambio",$B$16:$B$115,"&gt;="&amp;DATE($S$4,1,1),$B$16:$B$115,"&lt;"&amp;DATE($S$4+1,1,1))</f>
        <v>0</v>
      </c>
      <c r="L6" s="44"/>
      <c r="M6" s="45"/>
      <c r="N6" s="3"/>
      <c r="O6" s="3"/>
      <c r="P6" s="3"/>
      <c r="Q6" s="35" t="s">
        <v>10</v>
      </c>
      <c r="R6" s="36"/>
      <c r="S6" s="5" t="s">
        <v>11</v>
      </c>
      <c r="T6" s="7"/>
    </row>
    <row r="7" spans="2:20" ht="24.75" customHeight="1" x14ac:dyDescent="0.2">
      <c r="B7" s="46"/>
      <c r="C7" s="47"/>
      <c r="D7" s="48"/>
      <c r="E7" s="46"/>
      <c r="F7" s="47"/>
      <c r="G7" s="48"/>
      <c r="H7" s="46"/>
      <c r="I7" s="47"/>
      <c r="J7" s="48"/>
      <c r="K7" s="46"/>
      <c r="L7" s="47"/>
      <c r="M7" s="48"/>
      <c r="N7" s="3"/>
      <c r="O7" s="3"/>
      <c r="P7" s="3"/>
      <c r="Q7" s="35" t="s">
        <v>12</v>
      </c>
      <c r="R7" s="36"/>
      <c r="S7" s="4" t="s">
        <v>13</v>
      </c>
      <c r="T7" s="7"/>
    </row>
    <row r="8" spans="2:20" ht="13.5" customHeight="1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7"/>
    </row>
    <row r="9" spans="2:20" ht="19.5" customHeight="1" x14ac:dyDescent="0.2">
      <c r="B9" s="41" t="s">
        <v>14</v>
      </c>
      <c r="C9" s="42"/>
      <c r="D9" s="36"/>
      <c r="E9" s="41" t="s">
        <v>15</v>
      </c>
      <c r="F9" s="42"/>
      <c r="G9" s="36"/>
      <c r="H9" s="41" t="s">
        <v>16</v>
      </c>
      <c r="I9" s="42"/>
      <c r="J9" s="36"/>
      <c r="K9" s="41" t="s">
        <v>17</v>
      </c>
      <c r="L9" s="42"/>
      <c r="M9" s="36"/>
      <c r="N9" s="3"/>
      <c r="O9" s="3"/>
      <c r="P9" s="3"/>
      <c r="Q9" s="3"/>
      <c r="R9" s="3"/>
      <c r="S9" s="3"/>
      <c r="T9" s="7"/>
    </row>
    <row r="10" spans="2:20" ht="24.75" customHeight="1" x14ac:dyDescent="0.25">
      <c r="B10" s="43">
        <f>IF(COUNTIFS($O$16:$O$115,"Falta cambio",$J$16:$J$115,"Pagado",$B$16:$B$115,"&gt;="&amp;DATE($S$4,1,1),$B$16:$B$115,"&lt;"&amp;DATE($S$4+1,1,1))&gt;0,"Falta cambio",SUMIFS($I$16:$I$115,$J$16:$J$115,"Pagado",$B$16:$B$115,"&gt;="&amp;DATE($S$4,1,1),$B$16:$B$115,"&lt;"&amp;DATE($S$4+1,1,1)))</f>
        <v>0</v>
      </c>
      <c r="C10" s="44"/>
      <c r="D10" s="45"/>
      <c r="E10" s="43">
        <f>IF(COUNTIFS($O$16:$O$115,"Falta cambio",$J$16:$J$115,"Pendiente",$B$16:$B$115,"&gt;="&amp;DATE($S$4,1,1),$B$16:$B$115,"&lt;"&amp;DATE($S$4+1,1,1))&gt;0,"Falta cambio",SUMIFS($I$16:$I$115,$J$16:$J$115,"Pendiente",$B$16:$B$115,"&gt;="&amp;DATE($S$4,1,1),$B$16:$B$115,"&lt;"&amp;DATE($S$4+1,1,1)))</f>
        <v>0</v>
      </c>
      <c r="F10" s="44"/>
      <c r="G10" s="45"/>
      <c r="H10" s="49">
        <f>COUNTIFS($B$16:$B$115,"&gt;="&amp;DATE($S$4,1,1),$B$16:$B$115,"&lt;"&amp;DATE($S$4+1,1,1))</f>
        <v>1</v>
      </c>
      <c r="I10" s="44"/>
      <c r="J10" s="45"/>
      <c r="K10" s="50">
        <f>COUNTIF($O$16:$O$115,"Completar datos")+COUNTIF($O$16:$O$115,"Revisar moneda")+COUNTIF($O$16:$O$115,"Falta cambio")</f>
        <v>0</v>
      </c>
      <c r="L10" s="44"/>
      <c r="M10" s="45"/>
      <c r="N10" s="3"/>
      <c r="O10" s="3"/>
      <c r="P10" s="3"/>
      <c r="Q10" s="1" t="s">
        <v>18</v>
      </c>
      <c r="R10"/>
      <c r="S10"/>
    </row>
    <row r="11" spans="2:20" ht="24.75" customHeight="1" x14ac:dyDescent="0.25">
      <c r="B11" s="46"/>
      <c r="C11" s="47"/>
      <c r="D11" s="48"/>
      <c r="E11" s="46"/>
      <c r="F11" s="47"/>
      <c r="G11" s="48"/>
      <c r="H11" s="46"/>
      <c r="I11" s="47"/>
      <c r="J11" s="48"/>
      <c r="K11" s="46"/>
      <c r="L11" s="47"/>
      <c r="M11" s="48"/>
      <c r="N11" s="3"/>
      <c r="O11" s="3"/>
      <c r="P11" s="3"/>
      <c r="Q11" s="26" t="s">
        <v>19</v>
      </c>
      <c r="R11"/>
      <c r="S11"/>
    </row>
    <row r="12" spans="2:20" ht="13.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26" t="s">
        <v>20</v>
      </c>
      <c r="R12"/>
      <c r="S12"/>
    </row>
    <row r="13" spans="2:20" ht="13.5" customHeight="1" x14ac:dyDescent="0.25">
      <c r="B13" s="39" t="s">
        <v>21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"/>
      <c r="Q13" s="26" t="s">
        <v>22</v>
      </c>
      <c r="R13"/>
      <c r="S13"/>
    </row>
    <row r="14" spans="2:20" ht="27.75" customHeight="1" x14ac:dyDescent="0.25">
      <c r="B14" s="51" t="s">
        <v>23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36"/>
      <c r="P14" s="3"/>
      <c r="Q14" s="26" t="s">
        <v>24</v>
      </c>
      <c r="R14"/>
      <c r="S14"/>
    </row>
    <row r="15" spans="2:20" ht="32.1" customHeight="1" x14ac:dyDescent="0.25">
      <c r="B15" s="11" t="s">
        <v>25</v>
      </c>
      <c r="C15" s="11" t="s">
        <v>26</v>
      </c>
      <c r="D15" s="11" t="s">
        <v>27</v>
      </c>
      <c r="E15" s="11" t="s">
        <v>28</v>
      </c>
      <c r="F15" s="11" t="s">
        <v>29</v>
      </c>
      <c r="G15" s="11" t="s">
        <v>30</v>
      </c>
      <c r="H15" s="11" t="s">
        <v>31</v>
      </c>
      <c r="I15" s="11" t="s">
        <v>32</v>
      </c>
      <c r="J15" s="11" t="s">
        <v>33</v>
      </c>
      <c r="K15" s="11" t="s">
        <v>34</v>
      </c>
      <c r="L15" s="11" t="s">
        <v>35</v>
      </c>
      <c r="M15" s="11" t="s">
        <v>36</v>
      </c>
      <c r="N15" s="11" t="s">
        <v>37</v>
      </c>
      <c r="O15" s="11" t="s">
        <v>38</v>
      </c>
      <c r="P15" s="3"/>
      <c r="Q15" s="26" t="s">
        <v>39</v>
      </c>
      <c r="R15"/>
      <c r="S15"/>
    </row>
    <row r="16" spans="2:20" ht="23.1" customHeight="1" x14ac:dyDescent="0.25">
      <c r="B16" s="18">
        <v>46279</v>
      </c>
      <c r="C16" s="12" t="s">
        <v>63</v>
      </c>
      <c r="D16" s="13" t="s">
        <v>19</v>
      </c>
      <c r="E16" s="12" t="s">
        <v>64</v>
      </c>
      <c r="F16" s="14" t="s">
        <v>9</v>
      </c>
      <c r="G16" s="20" t="s">
        <v>65</v>
      </c>
      <c r="H16" s="24"/>
      <c r="I16" s="21" t="str">
        <f t="shared" ref="I16:I47" si="0">IF(G16="","",IF(F16="MXN",G16,IF(AND(F16="USD",ISNUMBER(H16),H16&gt;0),ROUND(G16*H16,2),"Falta cambio")))</f>
        <v>399..35</v>
      </c>
      <c r="J16" s="13" t="s">
        <v>66</v>
      </c>
      <c r="K16" s="12" t="s">
        <v>67</v>
      </c>
      <c r="L16" s="12" t="s">
        <v>68</v>
      </c>
      <c r="M16" s="12" t="s">
        <v>69</v>
      </c>
      <c r="N16" s="13"/>
      <c r="O16" s="17" t="s">
        <v>70</v>
      </c>
      <c r="P16" s="3"/>
      <c r="Q16" s="26" t="s">
        <v>40</v>
      </c>
      <c r="R16"/>
      <c r="S16"/>
    </row>
    <row r="17" spans="2:20" ht="23.1" customHeight="1" x14ac:dyDescent="0.25">
      <c r="B17" s="18"/>
      <c r="C17" s="12"/>
      <c r="D17" s="13"/>
      <c r="E17" s="12"/>
      <c r="F17" s="14"/>
      <c r="G17" s="20"/>
      <c r="H17" s="24"/>
      <c r="I17" s="21" t="str">
        <f t="shared" si="0"/>
        <v/>
      </c>
      <c r="J17" s="13"/>
      <c r="K17" s="12"/>
      <c r="L17" s="12"/>
      <c r="M17" s="12"/>
      <c r="N17" s="13"/>
      <c r="O17" s="17" t="str">
        <f t="shared" ref="O16:O39" si="1">IF(COUNTA(B17:H17,J17:N17)=0,"",IF(OR(NOT(ISNUMBER(B17)),C17="",D17="",E17="",NOT(ISNUMBER(G17)),J17=""),"Completar datos",IF(AND(F17&lt;&gt;"MXN",F17&lt;&gt;"USD"),"Revisar moneda",IF(AND(F17="USD",OR(NOT(ISNUMBER(H17)),H17&lt;=0)),"Falta cambio","Listo"))))</f>
        <v/>
      </c>
      <c r="P17" s="3"/>
      <c r="Q17" s="26" t="s">
        <v>41</v>
      </c>
      <c r="R17"/>
      <c r="S17"/>
    </row>
    <row r="18" spans="2:20" ht="23.1" customHeight="1" x14ac:dyDescent="0.25">
      <c r="B18" s="18"/>
      <c r="C18" s="12"/>
      <c r="D18" s="13"/>
      <c r="E18" s="12"/>
      <c r="F18" s="14"/>
      <c r="G18" s="20"/>
      <c r="H18" s="24"/>
      <c r="I18" s="21" t="str">
        <f t="shared" si="0"/>
        <v/>
      </c>
      <c r="J18" s="13"/>
      <c r="K18" s="12"/>
      <c r="L18" s="12"/>
      <c r="M18" s="12"/>
      <c r="N18" s="13"/>
      <c r="O18" s="17" t="str">
        <f t="shared" si="1"/>
        <v/>
      </c>
      <c r="P18" s="3"/>
      <c r="Q18" s="26" t="s">
        <v>42</v>
      </c>
      <c r="R18"/>
      <c r="S18"/>
    </row>
    <row r="19" spans="2:20" ht="23.1" customHeight="1" x14ac:dyDescent="0.25">
      <c r="B19" s="18"/>
      <c r="C19" s="12"/>
      <c r="D19" s="13"/>
      <c r="E19" s="12"/>
      <c r="F19" s="14"/>
      <c r="G19" s="20"/>
      <c r="H19" s="24"/>
      <c r="I19" s="21" t="str">
        <f t="shared" si="0"/>
        <v/>
      </c>
      <c r="J19" s="13"/>
      <c r="K19" s="12"/>
      <c r="L19" s="12"/>
      <c r="M19" s="12"/>
      <c r="N19" s="13"/>
      <c r="O19" s="17" t="str">
        <f t="shared" si="1"/>
        <v/>
      </c>
      <c r="P19" s="3"/>
      <c r="Q19" s="27" t="s">
        <v>43</v>
      </c>
      <c r="R19"/>
      <c r="S19"/>
    </row>
    <row r="20" spans="2:20" ht="23.1" customHeight="1" x14ac:dyDescent="0.25">
      <c r="B20" s="18"/>
      <c r="C20" s="12"/>
      <c r="D20" s="13"/>
      <c r="E20" s="12"/>
      <c r="F20" s="14"/>
      <c r="G20" s="20"/>
      <c r="H20" s="24"/>
      <c r="I20" s="21" t="str">
        <f t="shared" si="0"/>
        <v/>
      </c>
      <c r="J20" s="13"/>
      <c r="K20" s="12"/>
      <c r="L20" s="12"/>
      <c r="M20" s="12"/>
      <c r="N20" s="13"/>
      <c r="O20" s="17" t="str">
        <f t="shared" si="1"/>
        <v/>
      </c>
      <c r="P20" s="3"/>
      <c r="Q20" s="28" t="s">
        <v>44</v>
      </c>
      <c r="R20"/>
      <c r="S20"/>
    </row>
    <row r="21" spans="2:20" ht="23.1" customHeight="1" x14ac:dyDescent="0.25">
      <c r="B21" s="18"/>
      <c r="C21" s="12"/>
      <c r="D21" s="13"/>
      <c r="E21" s="12"/>
      <c r="F21" s="14"/>
      <c r="G21" s="20"/>
      <c r="H21" s="24"/>
      <c r="I21" s="21" t="str">
        <f t="shared" si="0"/>
        <v/>
      </c>
      <c r="J21" s="13"/>
      <c r="K21" s="12"/>
      <c r="L21" s="12"/>
      <c r="M21" s="12"/>
      <c r="N21" s="13"/>
      <c r="O21" s="17" t="str">
        <f t="shared" si="1"/>
        <v/>
      </c>
      <c r="P21" s="3"/>
      <c r="Q21" s="29" t="s">
        <v>45</v>
      </c>
      <c r="R21"/>
      <c r="S21"/>
    </row>
    <row r="22" spans="2:20" ht="23.1" customHeight="1" x14ac:dyDescent="0.25">
      <c r="B22" s="18"/>
      <c r="C22" s="12"/>
      <c r="D22" s="13"/>
      <c r="E22" s="12"/>
      <c r="F22" s="14"/>
      <c r="G22" s="20"/>
      <c r="H22" s="24"/>
      <c r="I22" s="21" t="str">
        <f t="shared" si="0"/>
        <v/>
      </c>
      <c r="J22" s="13"/>
      <c r="K22" s="12"/>
      <c r="L22" s="12"/>
      <c r="M22" s="12"/>
      <c r="N22" s="13"/>
      <c r="O22" s="17" t="str">
        <f t="shared" si="1"/>
        <v/>
      </c>
      <c r="P22" s="3"/>
      <c r="Q22" s="29" t="s">
        <v>46</v>
      </c>
      <c r="R22"/>
      <c r="S22"/>
    </row>
    <row r="23" spans="2:20" ht="23.1" customHeight="1" x14ac:dyDescent="0.2">
      <c r="B23" s="18"/>
      <c r="C23" s="12"/>
      <c r="D23" s="13"/>
      <c r="E23" s="12"/>
      <c r="F23" s="14"/>
      <c r="G23" s="20"/>
      <c r="H23" s="24"/>
      <c r="I23" s="21" t="str">
        <f t="shared" si="0"/>
        <v/>
      </c>
      <c r="J23" s="13"/>
      <c r="K23" s="12"/>
      <c r="L23" s="12"/>
      <c r="M23" s="12"/>
      <c r="N23" s="13"/>
      <c r="O23" s="17" t="str">
        <f t="shared" si="1"/>
        <v/>
      </c>
      <c r="P23" s="3"/>
      <c r="Q23" s="6"/>
      <c r="R23" s="8"/>
      <c r="S23" s="9"/>
      <c r="T23" s="7"/>
    </row>
    <row r="24" spans="2:20" ht="23.1" customHeight="1" x14ac:dyDescent="0.2">
      <c r="B24" s="18"/>
      <c r="C24" s="12"/>
      <c r="D24" s="13"/>
      <c r="E24" s="12"/>
      <c r="F24" s="14"/>
      <c r="G24" s="20"/>
      <c r="H24" s="24"/>
      <c r="I24" s="21" t="str">
        <f t="shared" si="0"/>
        <v/>
      </c>
      <c r="J24" s="13"/>
      <c r="K24" s="12"/>
      <c r="L24" s="12"/>
      <c r="M24" s="12"/>
      <c r="N24" s="13"/>
      <c r="O24" s="17" t="str">
        <f t="shared" si="1"/>
        <v/>
      </c>
      <c r="P24" s="3"/>
      <c r="Q24" s="30" t="s">
        <v>47</v>
      </c>
      <c r="R24" s="30"/>
      <c r="S24" s="30"/>
      <c r="T24" s="31"/>
    </row>
    <row r="25" spans="2:20" ht="30" customHeight="1" x14ac:dyDescent="0.25">
      <c r="B25" s="18"/>
      <c r="C25" s="12"/>
      <c r="D25" s="13"/>
      <c r="E25" s="12"/>
      <c r="F25" s="14"/>
      <c r="G25" s="20"/>
      <c r="H25" s="24"/>
      <c r="I25" s="21" t="str">
        <f t="shared" si="0"/>
        <v/>
      </c>
      <c r="J25" s="13"/>
      <c r="K25" s="12"/>
      <c r="L25" s="12"/>
      <c r="M25" s="12"/>
      <c r="N25" s="13"/>
      <c r="O25" s="17" t="str">
        <f t="shared" si="1"/>
        <v/>
      </c>
      <c r="P25" s="3"/>
      <c r="Q25" s="34" t="s">
        <v>48</v>
      </c>
      <c r="R25" s="34" t="s">
        <v>49</v>
      </c>
      <c r="S25" s="34" t="s">
        <v>50</v>
      </c>
      <c r="T25" s="34" t="s">
        <v>51</v>
      </c>
    </row>
    <row r="26" spans="2:20" ht="24" customHeight="1" x14ac:dyDescent="0.25">
      <c r="B26" s="18"/>
      <c r="C26" s="12"/>
      <c r="D26" s="13"/>
      <c r="E26" s="12"/>
      <c r="F26" s="14"/>
      <c r="G26" s="20"/>
      <c r="H26" s="24"/>
      <c r="I26" s="21" t="str">
        <f t="shared" si="0"/>
        <v/>
      </c>
      <c r="J26" s="13"/>
      <c r="K26" s="12"/>
      <c r="L26" s="12"/>
      <c r="M26" s="12"/>
      <c r="N26" s="13"/>
      <c r="O26" s="17" t="str">
        <f t="shared" si="1"/>
        <v/>
      </c>
      <c r="P26" s="3"/>
      <c r="Q26" s="32">
        <f>DATE($S$4,1,1)</f>
        <v>46023</v>
      </c>
      <c r="R26" s="33">
        <f t="shared" ref="R26:R37" si="2">SUMIFS($G$16:$G$115,$F$16:$F$115,"MXN",$B$16:$B$115,"&gt;="&amp;Q26,$B$16:$B$115,"&lt;"&amp;DATE(YEAR(Q26),MONTH(Q26)+1,1))</f>
        <v>0</v>
      </c>
      <c r="S26" s="33">
        <f t="shared" ref="S26:S37" si="3">SUMIFS($G$16:$G$115,$F$16:$F$115,"USD",$B$16:$B$115,"&gt;="&amp;Q26,$B$16:$B$115,"&lt;"&amp;DATE(YEAR(Q26),MONTH(Q26)+1,1))</f>
        <v>0</v>
      </c>
      <c r="T26" s="33">
        <f t="shared" ref="T26:T37" si="4">IF(COUNTIFS($O$16:$O$115,"Falta cambio",$B$16:$B$115,"&gt;="&amp;Q26,$B$16:$B$115,"&lt;"&amp;DATE(YEAR(Q26),MONTH(Q26)+1,1))&gt;0,"Falta cambio",SUMIFS($I$16:$I$115,$B$16:$B$115,"&gt;="&amp;Q26,$B$16:$B$115,"&lt;"&amp;DATE(YEAR(Q26),MONTH(Q26)+1,1)))</f>
        <v>0</v>
      </c>
    </row>
    <row r="27" spans="2:20" ht="24" customHeight="1" x14ac:dyDescent="0.25">
      <c r="B27" s="18"/>
      <c r="C27" s="12"/>
      <c r="D27" s="13"/>
      <c r="E27" s="12"/>
      <c r="F27" s="14"/>
      <c r="G27" s="20"/>
      <c r="H27" s="24"/>
      <c r="I27" s="21" t="str">
        <f t="shared" si="0"/>
        <v/>
      </c>
      <c r="J27" s="13"/>
      <c r="K27" s="12"/>
      <c r="L27" s="12"/>
      <c r="M27" s="12"/>
      <c r="N27" s="13"/>
      <c r="O27" s="17" t="str">
        <f t="shared" si="1"/>
        <v/>
      </c>
      <c r="P27" s="3"/>
      <c r="Q27" s="32">
        <f>DATE($S$4,2,1)</f>
        <v>46054</v>
      </c>
      <c r="R27" s="33">
        <f t="shared" si="2"/>
        <v>0</v>
      </c>
      <c r="S27" s="33">
        <f t="shared" si="3"/>
        <v>0</v>
      </c>
      <c r="T27" s="33">
        <f t="shared" si="4"/>
        <v>0</v>
      </c>
    </row>
    <row r="28" spans="2:20" ht="24" customHeight="1" x14ac:dyDescent="0.25">
      <c r="B28" s="18"/>
      <c r="C28" s="12"/>
      <c r="D28" s="13"/>
      <c r="E28" s="12"/>
      <c r="F28" s="14"/>
      <c r="G28" s="20"/>
      <c r="H28" s="24"/>
      <c r="I28" s="21" t="str">
        <f t="shared" si="0"/>
        <v/>
      </c>
      <c r="J28" s="13"/>
      <c r="K28" s="12"/>
      <c r="L28" s="12"/>
      <c r="M28" s="12"/>
      <c r="N28" s="13"/>
      <c r="O28" s="17" t="str">
        <f t="shared" si="1"/>
        <v/>
      </c>
      <c r="P28" s="3"/>
      <c r="Q28" s="32">
        <f>DATE($S$4,3,1)</f>
        <v>46082</v>
      </c>
      <c r="R28" s="33">
        <f t="shared" si="2"/>
        <v>0</v>
      </c>
      <c r="S28" s="33">
        <f t="shared" si="3"/>
        <v>0</v>
      </c>
      <c r="T28" s="33">
        <f t="shared" si="4"/>
        <v>0</v>
      </c>
    </row>
    <row r="29" spans="2:20" ht="24" customHeight="1" x14ac:dyDescent="0.25">
      <c r="B29" s="18"/>
      <c r="C29" s="12"/>
      <c r="D29" s="13"/>
      <c r="E29" s="12"/>
      <c r="F29" s="14"/>
      <c r="G29" s="20"/>
      <c r="H29" s="24"/>
      <c r="I29" s="21" t="str">
        <f t="shared" si="0"/>
        <v/>
      </c>
      <c r="J29" s="13"/>
      <c r="K29" s="12"/>
      <c r="L29" s="12"/>
      <c r="M29" s="12"/>
      <c r="N29" s="13"/>
      <c r="O29" s="17" t="str">
        <f t="shared" si="1"/>
        <v/>
      </c>
      <c r="P29" s="3"/>
      <c r="Q29" s="32">
        <f>DATE($S$4,4,1)</f>
        <v>46113</v>
      </c>
      <c r="R29" s="33">
        <f t="shared" si="2"/>
        <v>0</v>
      </c>
      <c r="S29" s="33">
        <f t="shared" si="3"/>
        <v>0</v>
      </c>
      <c r="T29" s="33">
        <f t="shared" si="4"/>
        <v>0</v>
      </c>
    </row>
    <row r="30" spans="2:20" ht="24" customHeight="1" x14ac:dyDescent="0.25">
      <c r="B30" s="18"/>
      <c r="C30" s="12"/>
      <c r="D30" s="13"/>
      <c r="E30" s="12"/>
      <c r="F30" s="14"/>
      <c r="G30" s="20"/>
      <c r="H30" s="24"/>
      <c r="I30" s="21" t="str">
        <f t="shared" si="0"/>
        <v/>
      </c>
      <c r="J30" s="13"/>
      <c r="K30" s="12"/>
      <c r="L30" s="12"/>
      <c r="M30" s="12"/>
      <c r="N30" s="13"/>
      <c r="O30" s="17" t="str">
        <f t="shared" si="1"/>
        <v/>
      </c>
      <c r="P30" s="3"/>
      <c r="Q30" s="32">
        <f>DATE($S$4,5,1)</f>
        <v>46143</v>
      </c>
      <c r="R30" s="33">
        <f t="shared" si="2"/>
        <v>0</v>
      </c>
      <c r="S30" s="33">
        <f t="shared" si="3"/>
        <v>0</v>
      </c>
      <c r="T30" s="33">
        <f t="shared" si="4"/>
        <v>0</v>
      </c>
    </row>
    <row r="31" spans="2:20" ht="24" customHeight="1" x14ac:dyDescent="0.25">
      <c r="B31" s="18"/>
      <c r="C31" s="12"/>
      <c r="D31" s="13"/>
      <c r="E31" s="12"/>
      <c r="F31" s="14"/>
      <c r="G31" s="20"/>
      <c r="H31" s="24"/>
      <c r="I31" s="21" t="str">
        <f t="shared" si="0"/>
        <v/>
      </c>
      <c r="J31" s="13"/>
      <c r="K31" s="12"/>
      <c r="L31" s="12"/>
      <c r="M31" s="12"/>
      <c r="N31" s="13"/>
      <c r="O31" s="17" t="str">
        <f t="shared" si="1"/>
        <v/>
      </c>
      <c r="P31" s="3"/>
      <c r="Q31" s="32">
        <f>DATE($S$4,6,1)</f>
        <v>46174</v>
      </c>
      <c r="R31" s="33">
        <f t="shared" si="2"/>
        <v>0</v>
      </c>
      <c r="S31" s="33">
        <f t="shared" si="3"/>
        <v>0</v>
      </c>
      <c r="T31" s="33">
        <f t="shared" si="4"/>
        <v>0</v>
      </c>
    </row>
    <row r="32" spans="2:20" ht="24" customHeight="1" x14ac:dyDescent="0.25">
      <c r="B32" s="18"/>
      <c r="C32" s="12"/>
      <c r="D32" s="13"/>
      <c r="E32" s="12"/>
      <c r="F32" s="14"/>
      <c r="G32" s="20"/>
      <c r="H32" s="24"/>
      <c r="I32" s="21" t="str">
        <f t="shared" si="0"/>
        <v/>
      </c>
      <c r="J32" s="13"/>
      <c r="K32" s="12"/>
      <c r="L32" s="12"/>
      <c r="M32" s="12"/>
      <c r="N32" s="13"/>
      <c r="O32" s="17" t="str">
        <f t="shared" si="1"/>
        <v/>
      </c>
      <c r="P32" s="3"/>
      <c r="Q32" s="32">
        <f>DATE($S$4,7,1)</f>
        <v>46204</v>
      </c>
      <c r="R32" s="33">
        <f t="shared" si="2"/>
        <v>0</v>
      </c>
      <c r="S32" s="33">
        <f t="shared" si="3"/>
        <v>0</v>
      </c>
      <c r="T32" s="33">
        <f t="shared" si="4"/>
        <v>0</v>
      </c>
    </row>
    <row r="33" spans="2:20" ht="24" customHeight="1" x14ac:dyDescent="0.25">
      <c r="B33" s="18"/>
      <c r="C33" s="12"/>
      <c r="D33" s="13"/>
      <c r="E33" s="12"/>
      <c r="F33" s="14"/>
      <c r="G33" s="20"/>
      <c r="H33" s="24"/>
      <c r="I33" s="21" t="str">
        <f t="shared" si="0"/>
        <v/>
      </c>
      <c r="J33" s="13"/>
      <c r="K33" s="12"/>
      <c r="L33" s="12"/>
      <c r="M33" s="12"/>
      <c r="N33" s="13"/>
      <c r="O33" s="17" t="str">
        <f t="shared" si="1"/>
        <v/>
      </c>
      <c r="P33" s="3"/>
      <c r="Q33" s="32">
        <f>DATE($S$4,8,1)</f>
        <v>46235</v>
      </c>
      <c r="R33" s="33">
        <f t="shared" si="2"/>
        <v>0</v>
      </c>
      <c r="S33" s="33">
        <f t="shared" si="3"/>
        <v>0</v>
      </c>
      <c r="T33" s="33">
        <f t="shared" si="4"/>
        <v>0</v>
      </c>
    </row>
    <row r="34" spans="2:20" ht="24" customHeight="1" x14ac:dyDescent="0.25">
      <c r="B34" s="18"/>
      <c r="C34" s="12"/>
      <c r="D34" s="13"/>
      <c r="E34" s="12"/>
      <c r="F34" s="14"/>
      <c r="G34" s="20"/>
      <c r="H34" s="24"/>
      <c r="I34" s="21" t="str">
        <f t="shared" si="0"/>
        <v/>
      </c>
      <c r="J34" s="13"/>
      <c r="K34" s="12"/>
      <c r="L34" s="12"/>
      <c r="M34" s="12"/>
      <c r="N34" s="13"/>
      <c r="O34" s="17" t="str">
        <f t="shared" si="1"/>
        <v/>
      </c>
      <c r="P34" s="3"/>
      <c r="Q34" s="32">
        <f>DATE($S$4,9,1)</f>
        <v>46266</v>
      </c>
      <c r="R34" s="33">
        <f t="shared" si="2"/>
        <v>0</v>
      </c>
      <c r="S34" s="33">
        <f t="shared" si="3"/>
        <v>0</v>
      </c>
      <c r="T34" s="33">
        <f t="shared" si="4"/>
        <v>0</v>
      </c>
    </row>
    <row r="35" spans="2:20" ht="24" customHeight="1" x14ac:dyDescent="0.25">
      <c r="B35" s="18"/>
      <c r="C35" s="12"/>
      <c r="D35" s="13"/>
      <c r="E35" s="12"/>
      <c r="F35" s="14"/>
      <c r="G35" s="20"/>
      <c r="H35" s="24"/>
      <c r="I35" s="21" t="str">
        <f t="shared" si="0"/>
        <v/>
      </c>
      <c r="J35" s="13"/>
      <c r="K35" s="12"/>
      <c r="L35" s="12"/>
      <c r="M35" s="12"/>
      <c r="N35" s="13"/>
      <c r="O35" s="17" t="str">
        <f t="shared" si="1"/>
        <v/>
      </c>
      <c r="P35" s="3"/>
      <c r="Q35" s="32">
        <f>DATE($S$4,10,1)</f>
        <v>46296</v>
      </c>
      <c r="R35" s="33">
        <f t="shared" si="2"/>
        <v>0</v>
      </c>
      <c r="S35" s="33">
        <f t="shared" si="3"/>
        <v>0</v>
      </c>
      <c r="T35" s="33">
        <f t="shared" si="4"/>
        <v>0</v>
      </c>
    </row>
    <row r="36" spans="2:20" ht="24" customHeight="1" x14ac:dyDescent="0.25">
      <c r="B36" s="18"/>
      <c r="C36" s="12"/>
      <c r="D36" s="13"/>
      <c r="E36" s="12"/>
      <c r="F36" s="14"/>
      <c r="G36" s="20"/>
      <c r="H36" s="24"/>
      <c r="I36" s="21" t="str">
        <f t="shared" si="0"/>
        <v/>
      </c>
      <c r="J36" s="13"/>
      <c r="K36" s="12"/>
      <c r="L36" s="12"/>
      <c r="M36" s="12"/>
      <c r="N36" s="13"/>
      <c r="O36" s="17" t="str">
        <f t="shared" si="1"/>
        <v/>
      </c>
      <c r="P36" s="3"/>
      <c r="Q36" s="32">
        <f>DATE($S$4,11,1)</f>
        <v>46327</v>
      </c>
      <c r="R36" s="33">
        <f t="shared" si="2"/>
        <v>0</v>
      </c>
      <c r="S36" s="33">
        <f t="shared" si="3"/>
        <v>0</v>
      </c>
      <c r="T36" s="33">
        <f t="shared" si="4"/>
        <v>0</v>
      </c>
    </row>
    <row r="37" spans="2:20" ht="24" customHeight="1" x14ac:dyDescent="0.25">
      <c r="B37" s="18"/>
      <c r="C37" s="12"/>
      <c r="D37" s="13"/>
      <c r="E37" s="12"/>
      <c r="F37" s="14"/>
      <c r="G37" s="20"/>
      <c r="H37" s="24"/>
      <c r="I37" s="21" t="str">
        <f t="shared" si="0"/>
        <v/>
      </c>
      <c r="J37" s="13"/>
      <c r="K37" s="12"/>
      <c r="L37" s="12"/>
      <c r="M37" s="12"/>
      <c r="N37" s="13"/>
      <c r="O37" s="17" t="str">
        <f t="shared" si="1"/>
        <v/>
      </c>
      <c r="P37" s="3"/>
      <c r="Q37" s="32">
        <f>DATE($S$4,12,1)</f>
        <v>46357</v>
      </c>
      <c r="R37" s="33">
        <f t="shared" si="2"/>
        <v>0</v>
      </c>
      <c r="S37" s="33">
        <f t="shared" si="3"/>
        <v>0</v>
      </c>
      <c r="T37" s="33">
        <f t="shared" si="4"/>
        <v>0</v>
      </c>
    </row>
    <row r="38" spans="2:20" ht="23.1" customHeight="1" x14ac:dyDescent="0.2">
      <c r="B38" s="18"/>
      <c r="C38" s="12"/>
      <c r="D38" s="13"/>
      <c r="E38" s="12"/>
      <c r="F38" s="14"/>
      <c r="G38" s="20"/>
      <c r="H38" s="24"/>
      <c r="I38" s="21" t="str">
        <f t="shared" si="0"/>
        <v/>
      </c>
      <c r="J38" s="13"/>
      <c r="K38" s="12"/>
      <c r="L38" s="12"/>
      <c r="M38" s="12"/>
      <c r="N38" s="13"/>
      <c r="O38" s="17" t="str">
        <f t="shared" si="1"/>
        <v/>
      </c>
      <c r="P38" s="3"/>
      <c r="Q38" s="3"/>
      <c r="R38" s="3"/>
      <c r="S38" s="3"/>
      <c r="T38" s="7"/>
    </row>
    <row r="39" spans="2:20" ht="23.1" customHeight="1" x14ac:dyDescent="0.2">
      <c r="B39" s="18"/>
      <c r="C39" s="12"/>
      <c r="D39" s="13"/>
      <c r="E39" s="12"/>
      <c r="F39" s="14"/>
      <c r="G39" s="20"/>
      <c r="H39" s="24"/>
      <c r="I39" s="21" t="str">
        <f t="shared" si="0"/>
        <v/>
      </c>
      <c r="J39" s="13"/>
      <c r="K39" s="12"/>
      <c r="L39" s="12"/>
      <c r="M39" s="12"/>
      <c r="N39" s="13"/>
      <c r="O39" s="17" t="str">
        <f t="shared" si="1"/>
        <v/>
      </c>
      <c r="P39" s="3"/>
      <c r="Q39" s="30" t="s">
        <v>52</v>
      </c>
      <c r="R39" s="30"/>
      <c r="S39" s="30"/>
      <c r="T39" s="31"/>
    </row>
    <row r="40" spans="2:20" ht="23.1" customHeight="1" x14ac:dyDescent="0.2">
      <c r="B40" s="19"/>
      <c r="C40" s="15"/>
      <c r="D40" s="15"/>
      <c r="E40" s="15"/>
      <c r="F40" s="15"/>
      <c r="G40" s="22"/>
      <c r="H40" s="25"/>
      <c r="I40" s="23" t="str">
        <f t="shared" si="0"/>
        <v/>
      </c>
      <c r="J40" s="15"/>
      <c r="K40" s="15"/>
      <c r="L40" s="15"/>
      <c r="M40" s="15"/>
      <c r="N40" s="15"/>
      <c r="O40" s="16" t="str">
        <f t="shared" ref="O40:O71" si="5">IF(COUNTA(B40:H40,J40:N40)=0,"",IF(OR(NOT(ISNUMBER(B40)),C40="",D40="",E40="",NOT(ISNUMBER(G40)),J40=""),"Completar datos",IF(AND(F40&lt;&gt;"MXN",F40&lt;&gt;"USD"),"Revisar moneda",IF(AND(F40="USD",OR(NOT(ISNUMBER(H40)),H40&lt;=0)),"Falta cambio","Listo"))))</f>
        <v/>
      </c>
      <c r="P40" s="7"/>
      <c r="Q40" s="31" t="s">
        <v>53</v>
      </c>
      <c r="R40" s="31"/>
      <c r="S40" s="31"/>
      <c r="T40" s="31"/>
    </row>
    <row r="41" spans="2:20" ht="23.1" customHeight="1" x14ac:dyDescent="0.2">
      <c r="B41" s="19"/>
      <c r="C41" s="15"/>
      <c r="D41" s="15"/>
      <c r="E41" s="15"/>
      <c r="F41" s="15"/>
      <c r="G41" s="22"/>
      <c r="H41" s="25"/>
      <c r="I41" s="23" t="str">
        <f t="shared" si="0"/>
        <v/>
      </c>
      <c r="J41" s="15"/>
      <c r="K41" s="15"/>
      <c r="L41" s="15"/>
      <c r="M41" s="15"/>
      <c r="N41" s="15"/>
      <c r="O41" s="16" t="str">
        <f t="shared" si="5"/>
        <v/>
      </c>
      <c r="P41" s="7"/>
      <c r="Q41" s="31" t="s">
        <v>54</v>
      </c>
      <c r="R41" s="31"/>
      <c r="S41" s="31"/>
      <c r="T41" s="31"/>
    </row>
    <row r="42" spans="2:20" ht="23.1" customHeight="1" x14ac:dyDescent="0.2">
      <c r="B42" s="19"/>
      <c r="C42" s="15"/>
      <c r="D42" s="15"/>
      <c r="E42" s="15"/>
      <c r="F42" s="15"/>
      <c r="G42" s="22"/>
      <c r="H42" s="25"/>
      <c r="I42" s="23" t="str">
        <f t="shared" si="0"/>
        <v/>
      </c>
      <c r="J42" s="15"/>
      <c r="K42" s="15"/>
      <c r="L42" s="15"/>
      <c r="M42" s="15"/>
      <c r="N42" s="15"/>
      <c r="O42" s="16" t="str">
        <f t="shared" si="5"/>
        <v/>
      </c>
      <c r="P42" s="7"/>
      <c r="Q42" s="31" t="s">
        <v>55</v>
      </c>
      <c r="R42" s="31"/>
      <c r="S42" s="31"/>
      <c r="T42" s="31"/>
    </row>
    <row r="43" spans="2:20" ht="23.1" customHeight="1" x14ac:dyDescent="0.2">
      <c r="B43" s="19"/>
      <c r="C43" s="15"/>
      <c r="D43" s="15"/>
      <c r="E43" s="15"/>
      <c r="F43" s="15"/>
      <c r="G43" s="22"/>
      <c r="H43" s="25"/>
      <c r="I43" s="23" t="str">
        <f t="shared" si="0"/>
        <v/>
      </c>
      <c r="J43" s="15"/>
      <c r="K43" s="15"/>
      <c r="L43" s="15"/>
      <c r="M43" s="15"/>
      <c r="N43" s="15"/>
      <c r="O43" s="16" t="str">
        <f t="shared" si="5"/>
        <v/>
      </c>
      <c r="P43" s="7"/>
      <c r="Q43" s="31" t="s">
        <v>56</v>
      </c>
      <c r="R43" s="31"/>
      <c r="S43" s="31"/>
      <c r="T43" s="31"/>
    </row>
    <row r="44" spans="2:20" ht="23.1" customHeight="1" x14ac:dyDescent="0.2">
      <c r="B44" s="19"/>
      <c r="C44" s="15"/>
      <c r="D44" s="15"/>
      <c r="E44" s="15"/>
      <c r="F44" s="15"/>
      <c r="G44" s="22"/>
      <c r="H44" s="25"/>
      <c r="I44" s="23" t="str">
        <f t="shared" si="0"/>
        <v/>
      </c>
      <c r="J44" s="15"/>
      <c r="K44" s="15"/>
      <c r="L44" s="15"/>
      <c r="M44" s="15"/>
      <c r="N44" s="15"/>
      <c r="O44" s="16" t="str">
        <f t="shared" si="5"/>
        <v/>
      </c>
      <c r="P44" s="7"/>
      <c r="Q44" s="31" t="s">
        <v>57</v>
      </c>
      <c r="R44" s="31"/>
      <c r="S44" s="31"/>
      <c r="T44" s="31"/>
    </row>
    <row r="45" spans="2:20" ht="23.1" customHeight="1" x14ac:dyDescent="0.2">
      <c r="B45" s="19"/>
      <c r="C45" s="15"/>
      <c r="D45" s="15"/>
      <c r="E45" s="15"/>
      <c r="F45" s="15"/>
      <c r="G45" s="22"/>
      <c r="H45" s="25"/>
      <c r="I45" s="23" t="str">
        <f t="shared" si="0"/>
        <v/>
      </c>
      <c r="J45" s="15"/>
      <c r="K45" s="15"/>
      <c r="L45" s="15"/>
      <c r="M45" s="15"/>
      <c r="N45" s="15"/>
      <c r="O45" s="16" t="str">
        <f t="shared" si="5"/>
        <v/>
      </c>
      <c r="P45" s="7"/>
      <c r="Q45" s="31" t="s">
        <v>58</v>
      </c>
      <c r="R45" s="31"/>
      <c r="S45" s="31"/>
      <c r="T45" s="31"/>
    </row>
    <row r="46" spans="2:20" ht="23.1" customHeight="1" x14ac:dyDescent="0.2">
      <c r="B46" s="19"/>
      <c r="C46" s="15"/>
      <c r="D46" s="15"/>
      <c r="E46" s="15"/>
      <c r="F46" s="15"/>
      <c r="G46" s="22"/>
      <c r="H46" s="25"/>
      <c r="I46" s="23" t="str">
        <f t="shared" si="0"/>
        <v/>
      </c>
      <c r="J46" s="15"/>
      <c r="K46" s="15"/>
      <c r="L46" s="15"/>
      <c r="M46" s="15"/>
      <c r="N46" s="15"/>
      <c r="O46" s="16" t="str">
        <f t="shared" si="5"/>
        <v/>
      </c>
      <c r="P46" s="7"/>
      <c r="Q46" s="31" t="s">
        <v>59</v>
      </c>
      <c r="R46" s="31"/>
      <c r="S46" s="31"/>
      <c r="T46" s="31"/>
    </row>
    <row r="47" spans="2:20" ht="23.1" customHeight="1" x14ac:dyDescent="0.2">
      <c r="B47" s="19"/>
      <c r="C47" s="15"/>
      <c r="D47" s="15"/>
      <c r="E47" s="15"/>
      <c r="F47" s="15"/>
      <c r="G47" s="22"/>
      <c r="H47" s="25"/>
      <c r="I47" s="23" t="str">
        <f t="shared" si="0"/>
        <v/>
      </c>
      <c r="J47" s="15"/>
      <c r="K47" s="15"/>
      <c r="L47" s="15"/>
      <c r="M47" s="15"/>
      <c r="N47" s="15"/>
      <c r="O47" s="16" t="str">
        <f t="shared" si="5"/>
        <v/>
      </c>
      <c r="P47" s="7"/>
      <c r="Q47" s="31" t="s">
        <v>60</v>
      </c>
      <c r="R47" s="31"/>
      <c r="S47" s="31"/>
      <c r="T47" s="31"/>
    </row>
    <row r="48" spans="2:20" ht="23.1" customHeight="1" x14ac:dyDescent="0.2">
      <c r="B48" s="19"/>
      <c r="C48" s="15"/>
      <c r="D48" s="15"/>
      <c r="E48" s="15"/>
      <c r="F48" s="15"/>
      <c r="G48" s="22"/>
      <c r="H48" s="25"/>
      <c r="I48" s="23" t="str">
        <f t="shared" ref="I48:I79" si="6">IF(G48="","",IF(F48="MXN",G48,IF(AND(F48="USD",ISNUMBER(H48),H48&gt;0),ROUND(G48*H48,2),"Falta cambio")))</f>
        <v/>
      </c>
      <c r="J48" s="15"/>
      <c r="K48" s="15"/>
      <c r="L48" s="15"/>
      <c r="M48" s="15"/>
      <c r="N48" s="15"/>
      <c r="O48" s="16" t="str">
        <f t="shared" si="5"/>
        <v/>
      </c>
      <c r="P48" s="7"/>
      <c r="Q48" s="31" t="s">
        <v>61</v>
      </c>
      <c r="R48" s="31"/>
      <c r="S48" s="31"/>
      <c r="T48" s="31"/>
    </row>
    <row r="49" spans="2:20" ht="23.1" customHeight="1" x14ac:dyDescent="0.2">
      <c r="B49" s="19"/>
      <c r="C49" s="15"/>
      <c r="D49" s="15"/>
      <c r="E49" s="15"/>
      <c r="F49" s="15"/>
      <c r="G49" s="22"/>
      <c r="H49" s="25"/>
      <c r="I49" s="23" t="str">
        <f t="shared" si="6"/>
        <v/>
      </c>
      <c r="J49" s="15"/>
      <c r="K49" s="15"/>
      <c r="L49" s="15"/>
      <c r="M49" s="15"/>
      <c r="N49" s="15"/>
      <c r="O49" s="16" t="str">
        <f t="shared" si="5"/>
        <v/>
      </c>
      <c r="P49" s="7"/>
      <c r="Q49" s="31" t="s">
        <v>62</v>
      </c>
      <c r="R49" s="31"/>
      <c r="S49" s="31"/>
      <c r="T49" s="31"/>
    </row>
    <row r="50" spans="2:20" ht="23.1" customHeight="1" x14ac:dyDescent="0.2">
      <c r="B50" s="19"/>
      <c r="C50" s="15"/>
      <c r="D50" s="15"/>
      <c r="E50" s="15"/>
      <c r="F50" s="15"/>
      <c r="G50" s="22"/>
      <c r="H50" s="25"/>
      <c r="I50" s="23" t="str">
        <f t="shared" si="6"/>
        <v/>
      </c>
      <c r="J50" s="15"/>
      <c r="K50" s="15"/>
      <c r="L50" s="15"/>
      <c r="M50" s="15"/>
      <c r="N50" s="15"/>
      <c r="O50" s="16" t="str">
        <f t="shared" si="5"/>
        <v/>
      </c>
      <c r="P50" s="7"/>
      <c r="Q50" s="7"/>
      <c r="R50" s="7"/>
      <c r="S50" s="7"/>
      <c r="T50" s="7"/>
    </row>
    <row r="51" spans="2:20" ht="23.1" customHeight="1" x14ac:dyDescent="0.2">
      <c r="B51" s="19"/>
      <c r="C51" s="15"/>
      <c r="D51" s="15"/>
      <c r="E51" s="15"/>
      <c r="F51" s="15"/>
      <c r="G51" s="22"/>
      <c r="H51" s="25"/>
      <c r="I51" s="23" t="str">
        <f t="shared" si="6"/>
        <v/>
      </c>
      <c r="J51" s="15"/>
      <c r="K51" s="15"/>
      <c r="L51" s="15"/>
      <c r="M51" s="15"/>
      <c r="N51" s="15"/>
      <c r="O51" s="16" t="str">
        <f t="shared" si="5"/>
        <v/>
      </c>
      <c r="P51" s="7"/>
      <c r="Q51" s="7"/>
      <c r="R51" s="7"/>
      <c r="S51" s="7"/>
      <c r="T51" s="7"/>
    </row>
    <row r="52" spans="2:20" ht="23.1" customHeight="1" x14ac:dyDescent="0.2">
      <c r="B52" s="19"/>
      <c r="C52" s="15"/>
      <c r="D52" s="15"/>
      <c r="E52" s="15"/>
      <c r="F52" s="15"/>
      <c r="G52" s="22"/>
      <c r="H52" s="25"/>
      <c r="I52" s="23" t="str">
        <f t="shared" si="6"/>
        <v/>
      </c>
      <c r="J52" s="15"/>
      <c r="K52" s="15"/>
      <c r="L52" s="15"/>
      <c r="M52" s="15"/>
      <c r="N52" s="15"/>
      <c r="O52" s="16" t="str">
        <f t="shared" si="5"/>
        <v/>
      </c>
      <c r="P52" s="7"/>
      <c r="Q52" s="7"/>
      <c r="R52" s="7"/>
      <c r="S52" s="7"/>
      <c r="T52" s="7"/>
    </row>
    <row r="53" spans="2:20" ht="23.1" customHeight="1" x14ac:dyDescent="0.2">
      <c r="B53" s="19"/>
      <c r="C53" s="15"/>
      <c r="D53" s="15"/>
      <c r="E53" s="15"/>
      <c r="F53" s="15"/>
      <c r="G53" s="22"/>
      <c r="H53" s="25"/>
      <c r="I53" s="23" t="str">
        <f t="shared" si="6"/>
        <v/>
      </c>
      <c r="J53" s="15"/>
      <c r="K53" s="15"/>
      <c r="L53" s="15"/>
      <c r="M53" s="15"/>
      <c r="N53" s="15"/>
      <c r="O53" s="16" t="str">
        <f t="shared" si="5"/>
        <v/>
      </c>
      <c r="P53" s="7"/>
      <c r="Q53" s="7"/>
      <c r="R53" s="7"/>
      <c r="S53" s="7"/>
      <c r="T53" s="7"/>
    </row>
    <row r="54" spans="2:20" ht="23.1" customHeight="1" x14ac:dyDescent="0.2">
      <c r="B54" s="19"/>
      <c r="C54" s="15"/>
      <c r="D54" s="15"/>
      <c r="E54" s="15"/>
      <c r="F54" s="15"/>
      <c r="G54" s="22"/>
      <c r="H54" s="25"/>
      <c r="I54" s="23" t="str">
        <f t="shared" si="6"/>
        <v/>
      </c>
      <c r="J54" s="15"/>
      <c r="K54" s="15"/>
      <c r="L54" s="15"/>
      <c r="M54" s="15"/>
      <c r="N54" s="15"/>
      <c r="O54" s="16" t="str">
        <f t="shared" si="5"/>
        <v/>
      </c>
      <c r="P54" s="7"/>
      <c r="Q54" s="7"/>
      <c r="R54" s="7"/>
      <c r="S54" s="7"/>
      <c r="T54" s="7"/>
    </row>
    <row r="55" spans="2:20" ht="23.1" customHeight="1" x14ac:dyDescent="0.2">
      <c r="B55" s="19"/>
      <c r="C55" s="15"/>
      <c r="D55" s="15"/>
      <c r="E55" s="15"/>
      <c r="F55" s="15"/>
      <c r="G55" s="22"/>
      <c r="H55" s="25"/>
      <c r="I55" s="23" t="str">
        <f t="shared" si="6"/>
        <v/>
      </c>
      <c r="J55" s="15"/>
      <c r="K55" s="15"/>
      <c r="L55" s="15"/>
      <c r="M55" s="15"/>
      <c r="N55" s="15"/>
      <c r="O55" s="16" t="str">
        <f t="shared" si="5"/>
        <v/>
      </c>
      <c r="P55" s="7"/>
      <c r="Q55" s="7"/>
      <c r="R55" s="7"/>
      <c r="S55" s="7"/>
      <c r="T55" s="7"/>
    </row>
    <row r="56" spans="2:20" ht="23.1" customHeight="1" x14ac:dyDescent="0.2">
      <c r="B56" s="19"/>
      <c r="C56" s="15"/>
      <c r="D56" s="15"/>
      <c r="E56" s="15"/>
      <c r="F56" s="15"/>
      <c r="G56" s="22"/>
      <c r="H56" s="25"/>
      <c r="I56" s="23" t="str">
        <f t="shared" si="6"/>
        <v/>
      </c>
      <c r="J56" s="15"/>
      <c r="K56" s="15"/>
      <c r="L56" s="15"/>
      <c r="M56" s="15"/>
      <c r="N56" s="15"/>
      <c r="O56" s="16" t="str">
        <f t="shared" si="5"/>
        <v/>
      </c>
      <c r="P56" s="7"/>
      <c r="Q56" s="7"/>
      <c r="R56" s="7"/>
      <c r="S56" s="7"/>
      <c r="T56" s="7"/>
    </row>
    <row r="57" spans="2:20" ht="23.1" customHeight="1" x14ac:dyDescent="0.2">
      <c r="B57" s="19"/>
      <c r="C57" s="15"/>
      <c r="D57" s="15"/>
      <c r="E57" s="15"/>
      <c r="F57" s="15"/>
      <c r="G57" s="22"/>
      <c r="H57" s="25"/>
      <c r="I57" s="23" t="str">
        <f t="shared" si="6"/>
        <v/>
      </c>
      <c r="J57" s="15"/>
      <c r="K57" s="15"/>
      <c r="L57" s="15"/>
      <c r="M57" s="15"/>
      <c r="N57" s="15"/>
      <c r="O57" s="16" t="str">
        <f t="shared" si="5"/>
        <v/>
      </c>
      <c r="P57" s="7"/>
      <c r="Q57" s="7"/>
      <c r="R57" s="7"/>
      <c r="S57" s="7"/>
      <c r="T57" s="7"/>
    </row>
    <row r="58" spans="2:20" ht="23.1" customHeight="1" x14ac:dyDescent="0.2">
      <c r="B58" s="19"/>
      <c r="C58" s="15"/>
      <c r="D58" s="15"/>
      <c r="E58" s="15"/>
      <c r="F58" s="15"/>
      <c r="G58" s="22"/>
      <c r="H58" s="25"/>
      <c r="I58" s="23" t="str">
        <f t="shared" si="6"/>
        <v/>
      </c>
      <c r="J58" s="15"/>
      <c r="K58" s="15"/>
      <c r="L58" s="15"/>
      <c r="M58" s="15"/>
      <c r="N58" s="15"/>
      <c r="O58" s="16" t="str">
        <f t="shared" si="5"/>
        <v/>
      </c>
      <c r="P58" s="7"/>
      <c r="Q58" s="7"/>
      <c r="R58" s="7"/>
      <c r="S58" s="7"/>
      <c r="T58" s="7"/>
    </row>
    <row r="59" spans="2:20" ht="23.1" customHeight="1" x14ac:dyDescent="0.2">
      <c r="B59" s="19"/>
      <c r="C59" s="15"/>
      <c r="D59" s="15"/>
      <c r="E59" s="15"/>
      <c r="F59" s="15"/>
      <c r="G59" s="22"/>
      <c r="H59" s="25"/>
      <c r="I59" s="23" t="str">
        <f t="shared" si="6"/>
        <v/>
      </c>
      <c r="J59" s="15"/>
      <c r="K59" s="15"/>
      <c r="L59" s="15"/>
      <c r="M59" s="15"/>
      <c r="N59" s="15"/>
      <c r="O59" s="16" t="str">
        <f t="shared" si="5"/>
        <v/>
      </c>
      <c r="P59" s="7"/>
      <c r="Q59" s="7"/>
      <c r="R59" s="7"/>
      <c r="S59" s="7"/>
      <c r="T59" s="7"/>
    </row>
    <row r="60" spans="2:20" ht="23.1" customHeight="1" x14ac:dyDescent="0.2">
      <c r="B60" s="19"/>
      <c r="C60" s="15"/>
      <c r="D60" s="15"/>
      <c r="E60" s="15"/>
      <c r="F60" s="15"/>
      <c r="G60" s="22"/>
      <c r="H60" s="25"/>
      <c r="I60" s="23" t="str">
        <f t="shared" si="6"/>
        <v/>
      </c>
      <c r="J60" s="15"/>
      <c r="K60" s="15"/>
      <c r="L60" s="15"/>
      <c r="M60" s="15"/>
      <c r="N60" s="15"/>
      <c r="O60" s="16" t="str">
        <f t="shared" si="5"/>
        <v/>
      </c>
      <c r="P60" s="7"/>
      <c r="Q60" s="7"/>
      <c r="R60" s="7"/>
      <c r="S60" s="7"/>
      <c r="T60" s="7"/>
    </row>
    <row r="61" spans="2:20" ht="23.1" customHeight="1" x14ac:dyDescent="0.2">
      <c r="B61" s="19"/>
      <c r="C61" s="15"/>
      <c r="D61" s="15"/>
      <c r="E61" s="15"/>
      <c r="F61" s="15"/>
      <c r="G61" s="22"/>
      <c r="H61" s="25"/>
      <c r="I61" s="23" t="str">
        <f t="shared" si="6"/>
        <v/>
      </c>
      <c r="J61" s="15"/>
      <c r="K61" s="15"/>
      <c r="L61" s="15"/>
      <c r="M61" s="15"/>
      <c r="N61" s="15"/>
      <c r="O61" s="16" t="str">
        <f t="shared" si="5"/>
        <v/>
      </c>
      <c r="P61" s="7"/>
      <c r="Q61" s="7"/>
      <c r="R61" s="7"/>
      <c r="S61" s="7"/>
      <c r="T61" s="7"/>
    </row>
    <row r="62" spans="2:20" ht="23.1" customHeight="1" x14ac:dyDescent="0.2">
      <c r="B62" s="19"/>
      <c r="C62" s="15"/>
      <c r="D62" s="15"/>
      <c r="E62" s="15"/>
      <c r="F62" s="15"/>
      <c r="G62" s="22"/>
      <c r="H62" s="25"/>
      <c r="I62" s="23" t="str">
        <f t="shared" si="6"/>
        <v/>
      </c>
      <c r="J62" s="15"/>
      <c r="K62" s="15"/>
      <c r="L62" s="15"/>
      <c r="M62" s="15"/>
      <c r="N62" s="15"/>
      <c r="O62" s="16" t="str">
        <f t="shared" si="5"/>
        <v/>
      </c>
      <c r="P62" s="7"/>
      <c r="Q62" s="7"/>
      <c r="R62" s="7"/>
      <c r="S62" s="7"/>
      <c r="T62" s="7"/>
    </row>
    <row r="63" spans="2:20" ht="23.1" customHeight="1" x14ac:dyDescent="0.2">
      <c r="B63" s="19"/>
      <c r="C63" s="15"/>
      <c r="D63" s="15"/>
      <c r="E63" s="15"/>
      <c r="F63" s="15"/>
      <c r="G63" s="22"/>
      <c r="H63" s="25"/>
      <c r="I63" s="23" t="str">
        <f t="shared" si="6"/>
        <v/>
      </c>
      <c r="J63" s="15"/>
      <c r="K63" s="15"/>
      <c r="L63" s="15"/>
      <c r="M63" s="15"/>
      <c r="N63" s="15"/>
      <c r="O63" s="16" t="str">
        <f t="shared" si="5"/>
        <v/>
      </c>
      <c r="P63" s="7"/>
      <c r="Q63" s="7"/>
      <c r="R63" s="7"/>
      <c r="S63" s="7"/>
      <c r="T63" s="7"/>
    </row>
    <row r="64" spans="2:20" ht="23.1" customHeight="1" x14ac:dyDescent="0.2">
      <c r="B64" s="19"/>
      <c r="C64" s="15"/>
      <c r="D64" s="15"/>
      <c r="E64" s="15"/>
      <c r="F64" s="15"/>
      <c r="G64" s="22"/>
      <c r="H64" s="25"/>
      <c r="I64" s="23" t="str">
        <f t="shared" si="6"/>
        <v/>
      </c>
      <c r="J64" s="15"/>
      <c r="K64" s="15"/>
      <c r="L64" s="15"/>
      <c r="M64" s="15"/>
      <c r="N64" s="15"/>
      <c r="O64" s="16" t="str">
        <f t="shared" si="5"/>
        <v/>
      </c>
      <c r="P64" s="7"/>
      <c r="Q64" s="7"/>
      <c r="R64" s="7"/>
      <c r="S64" s="7"/>
      <c r="T64" s="7"/>
    </row>
    <row r="65" spans="2:20" ht="23.1" customHeight="1" x14ac:dyDescent="0.2">
      <c r="B65" s="19"/>
      <c r="C65" s="15"/>
      <c r="D65" s="15"/>
      <c r="E65" s="15"/>
      <c r="F65" s="15"/>
      <c r="G65" s="22"/>
      <c r="H65" s="25"/>
      <c r="I65" s="23" t="str">
        <f t="shared" si="6"/>
        <v/>
      </c>
      <c r="J65" s="15"/>
      <c r="K65" s="15"/>
      <c r="L65" s="15"/>
      <c r="M65" s="15"/>
      <c r="N65" s="15"/>
      <c r="O65" s="16" t="str">
        <f t="shared" si="5"/>
        <v/>
      </c>
      <c r="P65" s="7"/>
      <c r="Q65" s="7"/>
      <c r="R65" s="7"/>
      <c r="S65" s="7"/>
      <c r="T65" s="7"/>
    </row>
    <row r="66" spans="2:20" ht="23.1" customHeight="1" x14ac:dyDescent="0.2">
      <c r="B66" s="19"/>
      <c r="C66" s="15"/>
      <c r="D66" s="15"/>
      <c r="E66" s="15"/>
      <c r="F66" s="15"/>
      <c r="G66" s="22"/>
      <c r="H66" s="25"/>
      <c r="I66" s="23" t="str">
        <f t="shared" si="6"/>
        <v/>
      </c>
      <c r="J66" s="15"/>
      <c r="K66" s="15"/>
      <c r="L66" s="15"/>
      <c r="M66" s="15"/>
      <c r="N66" s="15"/>
      <c r="O66" s="16" t="str">
        <f t="shared" si="5"/>
        <v/>
      </c>
      <c r="P66" s="7"/>
      <c r="Q66" s="7"/>
      <c r="R66" s="7"/>
      <c r="S66" s="7"/>
      <c r="T66" s="7"/>
    </row>
    <row r="67" spans="2:20" ht="23.1" customHeight="1" x14ac:dyDescent="0.2">
      <c r="B67" s="19"/>
      <c r="C67" s="15"/>
      <c r="D67" s="15"/>
      <c r="E67" s="15"/>
      <c r="F67" s="15"/>
      <c r="G67" s="22"/>
      <c r="H67" s="25"/>
      <c r="I67" s="23" t="str">
        <f t="shared" si="6"/>
        <v/>
      </c>
      <c r="J67" s="15"/>
      <c r="K67" s="15"/>
      <c r="L67" s="15"/>
      <c r="M67" s="15"/>
      <c r="N67" s="15"/>
      <c r="O67" s="16" t="str">
        <f t="shared" si="5"/>
        <v/>
      </c>
      <c r="P67" s="7"/>
      <c r="Q67" s="7"/>
      <c r="R67" s="7"/>
      <c r="S67" s="7"/>
      <c r="T67" s="7"/>
    </row>
    <row r="68" spans="2:20" ht="23.1" customHeight="1" x14ac:dyDescent="0.2">
      <c r="B68" s="19"/>
      <c r="C68" s="15"/>
      <c r="D68" s="15"/>
      <c r="E68" s="15"/>
      <c r="F68" s="15"/>
      <c r="G68" s="22"/>
      <c r="H68" s="25"/>
      <c r="I68" s="23" t="str">
        <f t="shared" si="6"/>
        <v/>
      </c>
      <c r="J68" s="15"/>
      <c r="K68" s="15"/>
      <c r="L68" s="15"/>
      <c r="M68" s="15"/>
      <c r="N68" s="15"/>
      <c r="O68" s="16" t="str">
        <f t="shared" si="5"/>
        <v/>
      </c>
      <c r="P68" s="7"/>
      <c r="Q68" s="7"/>
      <c r="R68" s="7"/>
      <c r="S68" s="7"/>
      <c r="T68" s="7"/>
    </row>
    <row r="69" spans="2:20" ht="23.1" customHeight="1" x14ac:dyDescent="0.2">
      <c r="B69" s="19"/>
      <c r="C69" s="15"/>
      <c r="D69" s="15"/>
      <c r="E69" s="15"/>
      <c r="F69" s="15"/>
      <c r="G69" s="22"/>
      <c r="H69" s="25"/>
      <c r="I69" s="23" t="str">
        <f t="shared" si="6"/>
        <v/>
      </c>
      <c r="J69" s="15"/>
      <c r="K69" s="15"/>
      <c r="L69" s="15"/>
      <c r="M69" s="15"/>
      <c r="N69" s="15"/>
      <c r="O69" s="16" t="str">
        <f t="shared" si="5"/>
        <v/>
      </c>
      <c r="P69" s="7"/>
      <c r="Q69" s="7"/>
      <c r="R69" s="7"/>
      <c r="S69" s="7"/>
      <c r="T69" s="7"/>
    </row>
    <row r="70" spans="2:20" ht="23.1" customHeight="1" x14ac:dyDescent="0.2">
      <c r="B70" s="19"/>
      <c r="C70" s="15"/>
      <c r="D70" s="15"/>
      <c r="E70" s="15"/>
      <c r="F70" s="15"/>
      <c r="G70" s="22"/>
      <c r="H70" s="25"/>
      <c r="I70" s="23" t="str">
        <f t="shared" si="6"/>
        <v/>
      </c>
      <c r="J70" s="15"/>
      <c r="K70" s="15"/>
      <c r="L70" s="15"/>
      <c r="M70" s="15"/>
      <c r="N70" s="15"/>
      <c r="O70" s="16" t="str">
        <f t="shared" si="5"/>
        <v/>
      </c>
      <c r="P70" s="7"/>
      <c r="Q70" s="7"/>
      <c r="R70" s="7"/>
      <c r="S70" s="7"/>
      <c r="T70" s="7"/>
    </row>
    <row r="71" spans="2:20" ht="23.1" customHeight="1" x14ac:dyDescent="0.2">
      <c r="B71" s="19"/>
      <c r="C71" s="15"/>
      <c r="D71" s="15"/>
      <c r="E71" s="15"/>
      <c r="F71" s="15"/>
      <c r="G71" s="22"/>
      <c r="H71" s="25"/>
      <c r="I71" s="23" t="str">
        <f t="shared" si="6"/>
        <v/>
      </c>
      <c r="J71" s="15"/>
      <c r="K71" s="15"/>
      <c r="L71" s="15"/>
      <c r="M71" s="15"/>
      <c r="N71" s="15"/>
      <c r="O71" s="16" t="str">
        <f t="shared" si="5"/>
        <v/>
      </c>
      <c r="P71" s="7"/>
      <c r="Q71" s="7"/>
      <c r="R71" s="7"/>
      <c r="S71" s="7"/>
      <c r="T71" s="7"/>
    </row>
    <row r="72" spans="2:20" ht="23.1" customHeight="1" x14ac:dyDescent="0.2">
      <c r="B72" s="19"/>
      <c r="C72" s="15"/>
      <c r="D72" s="15"/>
      <c r="E72" s="15"/>
      <c r="F72" s="15"/>
      <c r="G72" s="22"/>
      <c r="H72" s="25"/>
      <c r="I72" s="23" t="str">
        <f t="shared" si="6"/>
        <v/>
      </c>
      <c r="J72" s="15"/>
      <c r="K72" s="15"/>
      <c r="L72" s="15"/>
      <c r="M72" s="15"/>
      <c r="N72" s="15"/>
      <c r="O72" s="16" t="str">
        <f t="shared" ref="O72:O103" si="7">IF(COUNTA(B72:H72,J72:N72)=0,"",IF(OR(NOT(ISNUMBER(B72)),C72="",D72="",E72="",NOT(ISNUMBER(G72)),J72=""),"Completar datos",IF(AND(F72&lt;&gt;"MXN",F72&lt;&gt;"USD"),"Revisar moneda",IF(AND(F72="USD",OR(NOT(ISNUMBER(H72)),H72&lt;=0)),"Falta cambio","Listo"))))</f>
        <v/>
      </c>
      <c r="P72" s="7"/>
      <c r="Q72" s="7"/>
      <c r="R72" s="7"/>
      <c r="S72" s="7"/>
      <c r="T72" s="7"/>
    </row>
    <row r="73" spans="2:20" ht="23.1" customHeight="1" x14ac:dyDescent="0.2">
      <c r="B73" s="19"/>
      <c r="C73" s="15"/>
      <c r="D73" s="15"/>
      <c r="E73" s="15"/>
      <c r="F73" s="15"/>
      <c r="G73" s="22"/>
      <c r="H73" s="25"/>
      <c r="I73" s="23" t="str">
        <f t="shared" si="6"/>
        <v/>
      </c>
      <c r="J73" s="15"/>
      <c r="K73" s="15"/>
      <c r="L73" s="15"/>
      <c r="M73" s="15"/>
      <c r="N73" s="15"/>
      <c r="O73" s="16" t="str">
        <f t="shared" si="7"/>
        <v/>
      </c>
      <c r="P73" s="7"/>
      <c r="Q73" s="7"/>
      <c r="R73" s="7"/>
      <c r="S73" s="7"/>
      <c r="T73" s="7"/>
    </row>
    <row r="74" spans="2:20" ht="23.1" customHeight="1" x14ac:dyDescent="0.2">
      <c r="B74" s="19"/>
      <c r="C74" s="15"/>
      <c r="D74" s="15"/>
      <c r="E74" s="15"/>
      <c r="F74" s="15"/>
      <c r="G74" s="22"/>
      <c r="H74" s="25"/>
      <c r="I74" s="23" t="str">
        <f t="shared" si="6"/>
        <v/>
      </c>
      <c r="J74" s="15"/>
      <c r="K74" s="15"/>
      <c r="L74" s="15"/>
      <c r="M74" s="15"/>
      <c r="N74" s="15"/>
      <c r="O74" s="16" t="str">
        <f t="shared" si="7"/>
        <v/>
      </c>
      <c r="P74" s="7"/>
      <c r="Q74" s="7"/>
      <c r="R74" s="7"/>
      <c r="S74" s="7"/>
      <c r="T74" s="7"/>
    </row>
    <row r="75" spans="2:20" ht="23.1" customHeight="1" x14ac:dyDescent="0.2">
      <c r="B75" s="19"/>
      <c r="C75" s="15"/>
      <c r="D75" s="15"/>
      <c r="E75" s="15"/>
      <c r="F75" s="15"/>
      <c r="G75" s="22"/>
      <c r="H75" s="25"/>
      <c r="I75" s="23" t="str">
        <f t="shared" si="6"/>
        <v/>
      </c>
      <c r="J75" s="15"/>
      <c r="K75" s="15"/>
      <c r="L75" s="15"/>
      <c r="M75" s="15"/>
      <c r="N75" s="15"/>
      <c r="O75" s="16" t="str">
        <f t="shared" si="7"/>
        <v/>
      </c>
      <c r="P75" s="7"/>
      <c r="Q75" s="7"/>
      <c r="R75" s="7"/>
      <c r="S75" s="7"/>
      <c r="T75" s="7"/>
    </row>
    <row r="76" spans="2:20" ht="23.1" customHeight="1" x14ac:dyDescent="0.2">
      <c r="B76" s="19"/>
      <c r="C76" s="15"/>
      <c r="D76" s="15"/>
      <c r="E76" s="15"/>
      <c r="F76" s="15"/>
      <c r="G76" s="22"/>
      <c r="H76" s="25"/>
      <c r="I76" s="23" t="str">
        <f t="shared" si="6"/>
        <v/>
      </c>
      <c r="J76" s="15"/>
      <c r="K76" s="15"/>
      <c r="L76" s="15"/>
      <c r="M76" s="15"/>
      <c r="N76" s="15"/>
      <c r="O76" s="16" t="str">
        <f t="shared" si="7"/>
        <v/>
      </c>
      <c r="P76" s="7"/>
      <c r="Q76" s="7"/>
      <c r="R76" s="7"/>
      <c r="S76" s="7"/>
      <c r="T76" s="7"/>
    </row>
    <row r="77" spans="2:20" ht="23.1" customHeight="1" x14ac:dyDescent="0.2">
      <c r="B77" s="19"/>
      <c r="C77" s="15"/>
      <c r="D77" s="15"/>
      <c r="E77" s="15"/>
      <c r="F77" s="15"/>
      <c r="G77" s="22"/>
      <c r="H77" s="25"/>
      <c r="I77" s="23" t="str">
        <f t="shared" si="6"/>
        <v/>
      </c>
      <c r="J77" s="15"/>
      <c r="K77" s="15"/>
      <c r="L77" s="15"/>
      <c r="M77" s="15"/>
      <c r="N77" s="15"/>
      <c r="O77" s="16" t="str">
        <f t="shared" si="7"/>
        <v/>
      </c>
      <c r="P77" s="7"/>
      <c r="Q77" s="7"/>
      <c r="R77" s="7"/>
      <c r="S77" s="7"/>
      <c r="T77" s="7"/>
    </row>
    <row r="78" spans="2:20" ht="23.1" customHeight="1" x14ac:dyDescent="0.2">
      <c r="B78" s="19"/>
      <c r="C78" s="15"/>
      <c r="D78" s="15"/>
      <c r="E78" s="15"/>
      <c r="F78" s="15"/>
      <c r="G78" s="22"/>
      <c r="H78" s="25"/>
      <c r="I78" s="23" t="str">
        <f t="shared" si="6"/>
        <v/>
      </c>
      <c r="J78" s="15"/>
      <c r="K78" s="15"/>
      <c r="L78" s="15"/>
      <c r="M78" s="15"/>
      <c r="N78" s="15"/>
      <c r="O78" s="16" t="str">
        <f t="shared" si="7"/>
        <v/>
      </c>
      <c r="P78" s="7"/>
      <c r="Q78" s="7"/>
      <c r="R78" s="7"/>
      <c r="S78" s="7"/>
      <c r="T78" s="7"/>
    </row>
    <row r="79" spans="2:20" ht="23.1" customHeight="1" x14ac:dyDescent="0.2">
      <c r="B79" s="19"/>
      <c r="C79" s="15"/>
      <c r="D79" s="15"/>
      <c r="E79" s="15"/>
      <c r="F79" s="15"/>
      <c r="G79" s="22"/>
      <c r="H79" s="25"/>
      <c r="I79" s="23" t="str">
        <f t="shared" si="6"/>
        <v/>
      </c>
      <c r="J79" s="15"/>
      <c r="K79" s="15"/>
      <c r="L79" s="15"/>
      <c r="M79" s="15"/>
      <c r="N79" s="15"/>
      <c r="O79" s="16" t="str">
        <f t="shared" si="7"/>
        <v/>
      </c>
      <c r="P79" s="7"/>
      <c r="Q79" s="7"/>
      <c r="R79" s="7"/>
      <c r="S79" s="7"/>
      <c r="T79" s="7"/>
    </row>
    <row r="80" spans="2:20" ht="23.1" customHeight="1" x14ac:dyDescent="0.2">
      <c r="B80" s="19"/>
      <c r="C80" s="15"/>
      <c r="D80" s="15"/>
      <c r="E80" s="15"/>
      <c r="F80" s="15"/>
      <c r="G80" s="22"/>
      <c r="H80" s="25"/>
      <c r="I80" s="23" t="str">
        <f t="shared" ref="I80:I111" si="8">IF(G80="","",IF(F80="MXN",G80,IF(AND(F80="USD",ISNUMBER(H80),H80&gt;0),ROUND(G80*H80,2),"Falta cambio")))</f>
        <v/>
      </c>
      <c r="J80" s="15"/>
      <c r="K80" s="15"/>
      <c r="L80" s="15"/>
      <c r="M80" s="15"/>
      <c r="N80" s="15"/>
      <c r="O80" s="16" t="str">
        <f t="shared" si="7"/>
        <v/>
      </c>
      <c r="P80" s="7"/>
      <c r="Q80" s="7"/>
      <c r="R80" s="7"/>
      <c r="S80" s="7"/>
      <c r="T80" s="7"/>
    </row>
    <row r="81" spans="2:20" ht="23.1" customHeight="1" x14ac:dyDescent="0.2">
      <c r="B81" s="19"/>
      <c r="C81" s="15"/>
      <c r="D81" s="15"/>
      <c r="E81" s="15"/>
      <c r="F81" s="15"/>
      <c r="G81" s="22"/>
      <c r="H81" s="25"/>
      <c r="I81" s="23" t="str">
        <f t="shared" si="8"/>
        <v/>
      </c>
      <c r="J81" s="15"/>
      <c r="K81" s="15"/>
      <c r="L81" s="15"/>
      <c r="M81" s="15"/>
      <c r="N81" s="15"/>
      <c r="O81" s="16" t="str">
        <f t="shared" si="7"/>
        <v/>
      </c>
      <c r="P81" s="7"/>
      <c r="Q81" s="7"/>
      <c r="R81" s="7"/>
      <c r="S81" s="7"/>
      <c r="T81" s="7"/>
    </row>
    <row r="82" spans="2:20" ht="23.1" customHeight="1" x14ac:dyDescent="0.2">
      <c r="B82" s="19"/>
      <c r="C82" s="15"/>
      <c r="D82" s="15"/>
      <c r="E82" s="15"/>
      <c r="F82" s="15"/>
      <c r="G82" s="22"/>
      <c r="H82" s="25"/>
      <c r="I82" s="23" t="str">
        <f t="shared" si="8"/>
        <v/>
      </c>
      <c r="J82" s="15"/>
      <c r="K82" s="15"/>
      <c r="L82" s="15"/>
      <c r="M82" s="15"/>
      <c r="N82" s="15"/>
      <c r="O82" s="16" t="str">
        <f t="shared" si="7"/>
        <v/>
      </c>
      <c r="P82" s="7"/>
      <c r="Q82" s="7"/>
      <c r="R82" s="7"/>
      <c r="S82" s="7"/>
      <c r="T82" s="7"/>
    </row>
    <row r="83" spans="2:20" ht="23.1" customHeight="1" x14ac:dyDescent="0.2">
      <c r="B83" s="19"/>
      <c r="C83" s="15"/>
      <c r="D83" s="15"/>
      <c r="E83" s="15"/>
      <c r="F83" s="15"/>
      <c r="G83" s="22"/>
      <c r="H83" s="25"/>
      <c r="I83" s="23" t="str">
        <f t="shared" si="8"/>
        <v/>
      </c>
      <c r="J83" s="15"/>
      <c r="K83" s="15"/>
      <c r="L83" s="15"/>
      <c r="M83" s="15"/>
      <c r="N83" s="15"/>
      <c r="O83" s="16" t="str">
        <f t="shared" si="7"/>
        <v/>
      </c>
      <c r="P83" s="7"/>
      <c r="Q83" s="7"/>
      <c r="R83" s="7"/>
      <c r="S83" s="7"/>
      <c r="T83" s="7"/>
    </row>
    <row r="84" spans="2:20" ht="23.1" customHeight="1" x14ac:dyDescent="0.2">
      <c r="B84" s="19"/>
      <c r="C84" s="15"/>
      <c r="D84" s="15"/>
      <c r="E84" s="15"/>
      <c r="F84" s="15"/>
      <c r="G84" s="22"/>
      <c r="H84" s="25"/>
      <c r="I84" s="23" t="str">
        <f t="shared" si="8"/>
        <v/>
      </c>
      <c r="J84" s="15"/>
      <c r="K84" s="15"/>
      <c r="L84" s="15"/>
      <c r="M84" s="15"/>
      <c r="N84" s="15"/>
      <c r="O84" s="16" t="str">
        <f t="shared" si="7"/>
        <v/>
      </c>
      <c r="P84" s="7"/>
      <c r="Q84" s="7"/>
      <c r="R84" s="7"/>
      <c r="S84" s="7"/>
      <c r="T84" s="7"/>
    </row>
    <row r="85" spans="2:20" ht="23.1" customHeight="1" x14ac:dyDescent="0.2">
      <c r="B85" s="19"/>
      <c r="C85" s="15"/>
      <c r="D85" s="15"/>
      <c r="E85" s="15"/>
      <c r="F85" s="15"/>
      <c r="G85" s="22"/>
      <c r="H85" s="25"/>
      <c r="I85" s="23" t="str">
        <f t="shared" si="8"/>
        <v/>
      </c>
      <c r="J85" s="15"/>
      <c r="K85" s="15"/>
      <c r="L85" s="15"/>
      <c r="M85" s="15"/>
      <c r="N85" s="15"/>
      <c r="O85" s="16" t="str">
        <f t="shared" si="7"/>
        <v/>
      </c>
      <c r="P85" s="7"/>
      <c r="Q85" s="7"/>
      <c r="R85" s="7"/>
      <c r="S85" s="7"/>
      <c r="T85" s="7"/>
    </row>
    <row r="86" spans="2:20" ht="23.1" customHeight="1" x14ac:dyDescent="0.2">
      <c r="B86" s="19"/>
      <c r="C86" s="15"/>
      <c r="D86" s="15"/>
      <c r="E86" s="15"/>
      <c r="F86" s="15"/>
      <c r="G86" s="22"/>
      <c r="H86" s="25"/>
      <c r="I86" s="23" t="str">
        <f t="shared" si="8"/>
        <v/>
      </c>
      <c r="J86" s="15"/>
      <c r="K86" s="15"/>
      <c r="L86" s="15"/>
      <c r="M86" s="15"/>
      <c r="N86" s="15"/>
      <c r="O86" s="16" t="str">
        <f t="shared" si="7"/>
        <v/>
      </c>
      <c r="P86" s="7"/>
      <c r="Q86" s="7"/>
      <c r="R86" s="7"/>
      <c r="S86" s="7"/>
      <c r="T86" s="7"/>
    </row>
    <row r="87" spans="2:20" ht="23.1" customHeight="1" x14ac:dyDescent="0.2">
      <c r="B87" s="19"/>
      <c r="C87" s="15"/>
      <c r="D87" s="15"/>
      <c r="E87" s="15"/>
      <c r="F87" s="15"/>
      <c r="G87" s="22"/>
      <c r="H87" s="25"/>
      <c r="I87" s="23" t="str">
        <f t="shared" si="8"/>
        <v/>
      </c>
      <c r="J87" s="15"/>
      <c r="K87" s="15"/>
      <c r="L87" s="15"/>
      <c r="M87" s="15"/>
      <c r="N87" s="15"/>
      <c r="O87" s="16" t="str">
        <f t="shared" si="7"/>
        <v/>
      </c>
      <c r="P87" s="7"/>
      <c r="Q87" s="7"/>
      <c r="R87" s="7"/>
      <c r="S87" s="7"/>
      <c r="T87" s="7"/>
    </row>
    <row r="88" spans="2:20" ht="23.1" customHeight="1" x14ac:dyDescent="0.2">
      <c r="B88" s="19"/>
      <c r="C88" s="15"/>
      <c r="D88" s="15"/>
      <c r="E88" s="15"/>
      <c r="F88" s="15"/>
      <c r="G88" s="22"/>
      <c r="H88" s="25"/>
      <c r="I88" s="23" t="str">
        <f t="shared" si="8"/>
        <v/>
      </c>
      <c r="J88" s="15"/>
      <c r="K88" s="15"/>
      <c r="L88" s="15"/>
      <c r="M88" s="15"/>
      <c r="N88" s="15"/>
      <c r="O88" s="16" t="str">
        <f t="shared" si="7"/>
        <v/>
      </c>
      <c r="P88" s="7"/>
      <c r="Q88" s="7"/>
      <c r="R88" s="7"/>
      <c r="S88" s="7"/>
      <c r="T88" s="7"/>
    </row>
    <row r="89" spans="2:20" ht="23.1" customHeight="1" x14ac:dyDescent="0.2">
      <c r="B89" s="19"/>
      <c r="C89" s="15"/>
      <c r="D89" s="15"/>
      <c r="E89" s="15"/>
      <c r="F89" s="15"/>
      <c r="G89" s="22"/>
      <c r="H89" s="25"/>
      <c r="I89" s="23" t="str">
        <f t="shared" si="8"/>
        <v/>
      </c>
      <c r="J89" s="15"/>
      <c r="K89" s="15"/>
      <c r="L89" s="15"/>
      <c r="M89" s="15"/>
      <c r="N89" s="15"/>
      <c r="O89" s="16" t="str">
        <f t="shared" si="7"/>
        <v/>
      </c>
      <c r="P89" s="7"/>
      <c r="Q89" s="7"/>
      <c r="R89" s="7"/>
      <c r="S89" s="7"/>
      <c r="T89" s="7"/>
    </row>
    <row r="90" spans="2:20" ht="23.1" customHeight="1" x14ac:dyDescent="0.2">
      <c r="B90" s="19"/>
      <c r="C90" s="15"/>
      <c r="D90" s="15"/>
      <c r="E90" s="15"/>
      <c r="F90" s="15"/>
      <c r="G90" s="22"/>
      <c r="H90" s="25"/>
      <c r="I90" s="23" t="str">
        <f t="shared" si="8"/>
        <v/>
      </c>
      <c r="J90" s="15"/>
      <c r="K90" s="15"/>
      <c r="L90" s="15"/>
      <c r="M90" s="15"/>
      <c r="N90" s="15"/>
      <c r="O90" s="16" t="str">
        <f t="shared" si="7"/>
        <v/>
      </c>
      <c r="P90" s="7"/>
      <c r="Q90" s="7"/>
      <c r="R90" s="7"/>
      <c r="S90" s="7"/>
      <c r="T90" s="7"/>
    </row>
    <row r="91" spans="2:20" ht="23.1" customHeight="1" x14ac:dyDescent="0.2">
      <c r="B91" s="19"/>
      <c r="C91" s="15"/>
      <c r="D91" s="15"/>
      <c r="E91" s="15"/>
      <c r="F91" s="15"/>
      <c r="G91" s="22"/>
      <c r="H91" s="25"/>
      <c r="I91" s="23" t="str">
        <f t="shared" si="8"/>
        <v/>
      </c>
      <c r="J91" s="15"/>
      <c r="K91" s="15"/>
      <c r="L91" s="15"/>
      <c r="M91" s="15"/>
      <c r="N91" s="15"/>
      <c r="O91" s="16" t="str">
        <f t="shared" si="7"/>
        <v/>
      </c>
      <c r="P91" s="7"/>
      <c r="Q91" s="7"/>
      <c r="R91" s="7"/>
      <c r="S91" s="7"/>
      <c r="T91" s="7"/>
    </row>
    <row r="92" spans="2:20" ht="23.1" customHeight="1" x14ac:dyDescent="0.2">
      <c r="B92" s="19"/>
      <c r="C92" s="15"/>
      <c r="D92" s="15"/>
      <c r="E92" s="15"/>
      <c r="F92" s="15"/>
      <c r="G92" s="22"/>
      <c r="H92" s="25"/>
      <c r="I92" s="23" t="str">
        <f t="shared" si="8"/>
        <v/>
      </c>
      <c r="J92" s="15"/>
      <c r="K92" s="15"/>
      <c r="L92" s="15"/>
      <c r="M92" s="15"/>
      <c r="N92" s="15"/>
      <c r="O92" s="16" t="str">
        <f t="shared" si="7"/>
        <v/>
      </c>
      <c r="P92" s="7"/>
      <c r="Q92" s="7"/>
      <c r="R92" s="7"/>
      <c r="S92" s="7"/>
      <c r="T92" s="7"/>
    </row>
    <row r="93" spans="2:20" ht="23.1" customHeight="1" x14ac:dyDescent="0.2">
      <c r="B93" s="19"/>
      <c r="C93" s="15"/>
      <c r="D93" s="15"/>
      <c r="E93" s="15"/>
      <c r="F93" s="15"/>
      <c r="G93" s="22"/>
      <c r="H93" s="25"/>
      <c r="I93" s="23" t="str">
        <f t="shared" si="8"/>
        <v/>
      </c>
      <c r="J93" s="15"/>
      <c r="K93" s="15"/>
      <c r="L93" s="15"/>
      <c r="M93" s="15"/>
      <c r="N93" s="15"/>
      <c r="O93" s="16" t="str">
        <f t="shared" si="7"/>
        <v/>
      </c>
      <c r="P93" s="7"/>
      <c r="Q93" s="7"/>
      <c r="R93" s="7"/>
      <c r="S93" s="7"/>
      <c r="T93" s="7"/>
    </row>
    <row r="94" spans="2:20" ht="23.1" customHeight="1" x14ac:dyDescent="0.2">
      <c r="B94" s="19"/>
      <c r="C94" s="15"/>
      <c r="D94" s="15"/>
      <c r="E94" s="15"/>
      <c r="F94" s="15"/>
      <c r="G94" s="22"/>
      <c r="H94" s="25"/>
      <c r="I94" s="23" t="str">
        <f t="shared" si="8"/>
        <v/>
      </c>
      <c r="J94" s="15"/>
      <c r="K94" s="15"/>
      <c r="L94" s="15"/>
      <c r="M94" s="15"/>
      <c r="N94" s="15"/>
      <c r="O94" s="16" t="str">
        <f t="shared" si="7"/>
        <v/>
      </c>
      <c r="P94" s="7"/>
      <c r="Q94" s="7"/>
      <c r="R94" s="7"/>
      <c r="S94" s="7"/>
      <c r="T94" s="7"/>
    </row>
    <row r="95" spans="2:20" ht="23.1" customHeight="1" x14ac:dyDescent="0.2">
      <c r="B95" s="19"/>
      <c r="C95" s="15"/>
      <c r="D95" s="15"/>
      <c r="E95" s="15"/>
      <c r="F95" s="15"/>
      <c r="G95" s="22"/>
      <c r="H95" s="25"/>
      <c r="I95" s="23" t="str">
        <f t="shared" si="8"/>
        <v/>
      </c>
      <c r="J95" s="15"/>
      <c r="K95" s="15"/>
      <c r="L95" s="15"/>
      <c r="M95" s="15"/>
      <c r="N95" s="15"/>
      <c r="O95" s="16" t="str">
        <f t="shared" si="7"/>
        <v/>
      </c>
      <c r="P95" s="7"/>
      <c r="Q95" s="7"/>
      <c r="R95" s="7"/>
      <c r="S95" s="7"/>
      <c r="T95" s="7"/>
    </row>
    <row r="96" spans="2:20" ht="23.1" customHeight="1" x14ac:dyDescent="0.2">
      <c r="B96" s="19"/>
      <c r="C96" s="15"/>
      <c r="D96" s="15"/>
      <c r="E96" s="15"/>
      <c r="F96" s="15"/>
      <c r="G96" s="22"/>
      <c r="H96" s="25"/>
      <c r="I96" s="23" t="str">
        <f t="shared" si="8"/>
        <v/>
      </c>
      <c r="J96" s="15"/>
      <c r="K96" s="15"/>
      <c r="L96" s="15"/>
      <c r="M96" s="15"/>
      <c r="N96" s="15"/>
      <c r="O96" s="16" t="str">
        <f t="shared" si="7"/>
        <v/>
      </c>
      <c r="P96" s="7"/>
      <c r="Q96" s="7"/>
      <c r="R96" s="7"/>
      <c r="S96" s="7"/>
      <c r="T96" s="7"/>
    </row>
    <row r="97" spans="2:20" ht="23.1" customHeight="1" x14ac:dyDescent="0.2">
      <c r="B97" s="19"/>
      <c r="C97" s="15"/>
      <c r="D97" s="15"/>
      <c r="E97" s="15"/>
      <c r="F97" s="15"/>
      <c r="G97" s="22"/>
      <c r="H97" s="25"/>
      <c r="I97" s="23" t="str">
        <f t="shared" si="8"/>
        <v/>
      </c>
      <c r="J97" s="15"/>
      <c r="K97" s="15"/>
      <c r="L97" s="15"/>
      <c r="M97" s="15"/>
      <c r="N97" s="15"/>
      <c r="O97" s="16" t="str">
        <f t="shared" si="7"/>
        <v/>
      </c>
      <c r="P97" s="7"/>
      <c r="Q97" s="7"/>
      <c r="R97" s="7"/>
      <c r="S97" s="7"/>
      <c r="T97" s="7"/>
    </row>
    <row r="98" spans="2:20" ht="23.1" customHeight="1" x14ac:dyDescent="0.2">
      <c r="B98" s="19"/>
      <c r="C98" s="15"/>
      <c r="D98" s="15"/>
      <c r="E98" s="15"/>
      <c r="F98" s="15"/>
      <c r="G98" s="22"/>
      <c r="H98" s="25"/>
      <c r="I98" s="23" t="str">
        <f t="shared" si="8"/>
        <v/>
      </c>
      <c r="J98" s="15"/>
      <c r="K98" s="15"/>
      <c r="L98" s="15"/>
      <c r="M98" s="15"/>
      <c r="N98" s="15"/>
      <c r="O98" s="16" t="str">
        <f t="shared" si="7"/>
        <v/>
      </c>
      <c r="P98" s="7"/>
      <c r="Q98" s="7"/>
      <c r="R98" s="7"/>
      <c r="S98" s="7"/>
      <c r="T98" s="7"/>
    </row>
    <row r="99" spans="2:20" ht="23.1" customHeight="1" x14ac:dyDescent="0.2">
      <c r="B99" s="19"/>
      <c r="C99" s="15"/>
      <c r="D99" s="15"/>
      <c r="E99" s="15"/>
      <c r="F99" s="15"/>
      <c r="G99" s="22"/>
      <c r="H99" s="25"/>
      <c r="I99" s="23" t="str">
        <f t="shared" si="8"/>
        <v/>
      </c>
      <c r="J99" s="15"/>
      <c r="K99" s="15"/>
      <c r="L99" s="15"/>
      <c r="M99" s="15"/>
      <c r="N99" s="15"/>
      <c r="O99" s="16" t="str">
        <f t="shared" si="7"/>
        <v/>
      </c>
      <c r="P99" s="7"/>
      <c r="Q99" s="7"/>
      <c r="R99" s="7"/>
      <c r="S99" s="7"/>
      <c r="T99" s="7"/>
    </row>
    <row r="100" spans="2:20" ht="23.1" customHeight="1" x14ac:dyDescent="0.2">
      <c r="B100" s="19"/>
      <c r="C100" s="15"/>
      <c r="D100" s="15"/>
      <c r="E100" s="15"/>
      <c r="F100" s="15"/>
      <c r="G100" s="22"/>
      <c r="H100" s="25"/>
      <c r="I100" s="23" t="str">
        <f t="shared" si="8"/>
        <v/>
      </c>
      <c r="J100" s="15"/>
      <c r="K100" s="15"/>
      <c r="L100" s="15"/>
      <c r="M100" s="15"/>
      <c r="N100" s="15"/>
      <c r="O100" s="16" t="str">
        <f t="shared" si="7"/>
        <v/>
      </c>
      <c r="P100" s="7"/>
      <c r="Q100" s="7"/>
      <c r="R100" s="7"/>
      <c r="S100" s="7"/>
      <c r="T100" s="7"/>
    </row>
    <row r="101" spans="2:20" ht="23.1" customHeight="1" x14ac:dyDescent="0.2">
      <c r="B101" s="19"/>
      <c r="C101" s="15"/>
      <c r="D101" s="15"/>
      <c r="E101" s="15"/>
      <c r="F101" s="15"/>
      <c r="G101" s="22"/>
      <c r="H101" s="25"/>
      <c r="I101" s="23" t="str">
        <f t="shared" si="8"/>
        <v/>
      </c>
      <c r="J101" s="15"/>
      <c r="K101" s="15"/>
      <c r="L101" s="15"/>
      <c r="M101" s="15"/>
      <c r="N101" s="15"/>
      <c r="O101" s="16" t="str">
        <f t="shared" si="7"/>
        <v/>
      </c>
      <c r="P101" s="7"/>
      <c r="Q101" s="7"/>
      <c r="R101" s="7"/>
      <c r="S101" s="7"/>
      <c r="T101" s="7"/>
    </row>
    <row r="102" spans="2:20" ht="23.1" customHeight="1" x14ac:dyDescent="0.2">
      <c r="B102" s="19"/>
      <c r="C102" s="15"/>
      <c r="D102" s="15"/>
      <c r="E102" s="15"/>
      <c r="F102" s="15"/>
      <c r="G102" s="22"/>
      <c r="H102" s="25"/>
      <c r="I102" s="23" t="str">
        <f t="shared" si="8"/>
        <v/>
      </c>
      <c r="J102" s="15"/>
      <c r="K102" s="15"/>
      <c r="L102" s="15"/>
      <c r="M102" s="15"/>
      <c r="N102" s="15"/>
      <c r="O102" s="16" t="str">
        <f t="shared" si="7"/>
        <v/>
      </c>
      <c r="P102" s="7"/>
      <c r="Q102" s="7"/>
      <c r="R102" s="7"/>
      <c r="S102" s="7"/>
      <c r="T102" s="7"/>
    </row>
    <row r="103" spans="2:20" ht="23.1" customHeight="1" x14ac:dyDescent="0.2">
      <c r="B103" s="19"/>
      <c r="C103" s="15"/>
      <c r="D103" s="15"/>
      <c r="E103" s="15"/>
      <c r="F103" s="15"/>
      <c r="G103" s="22"/>
      <c r="H103" s="25"/>
      <c r="I103" s="23" t="str">
        <f t="shared" si="8"/>
        <v/>
      </c>
      <c r="J103" s="15"/>
      <c r="K103" s="15"/>
      <c r="L103" s="15"/>
      <c r="M103" s="15"/>
      <c r="N103" s="15"/>
      <c r="O103" s="16" t="str">
        <f t="shared" si="7"/>
        <v/>
      </c>
      <c r="P103" s="7"/>
      <c r="Q103" s="7"/>
      <c r="R103" s="7"/>
      <c r="S103" s="7"/>
      <c r="T103" s="7"/>
    </row>
    <row r="104" spans="2:20" ht="23.1" customHeight="1" x14ac:dyDescent="0.2">
      <c r="B104" s="19"/>
      <c r="C104" s="15"/>
      <c r="D104" s="15"/>
      <c r="E104" s="15"/>
      <c r="F104" s="15"/>
      <c r="G104" s="22"/>
      <c r="H104" s="25"/>
      <c r="I104" s="23" t="str">
        <f t="shared" si="8"/>
        <v/>
      </c>
      <c r="J104" s="15"/>
      <c r="K104" s="15"/>
      <c r="L104" s="15"/>
      <c r="M104" s="15"/>
      <c r="N104" s="15"/>
      <c r="O104" s="16" t="str">
        <f t="shared" ref="O104:O135" si="9">IF(COUNTA(B104:H104,J104:N104)=0,"",IF(OR(NOT(ISNUMBER(B104)),C104="",D104="",E104="",NOT(ISNUMBER(G104)),J104=""),"Completar datos",IF(AND(F104&lt;&gt;"MXN",F104&lt;&gt;"USD"),"Revisar moneda",IF(AND(F104="USD",OR(NOT(ISNUMBER(H104)),H104&lt;=0)),"Falta cambio","Listo"))))</f>
        <v/>
      </c>
      <c r="P104" s="7"/>
      <c r="Q104" s="7"/>
      <c r="R104" s="7"/>
      <c r="S104" s="7"/>
      <c r="T104" s="7"/>
    </row>
    <row r="105" spans="2:20" ht="23.1" customHeight="1" x14ac:dyDescent="0.2">
      <c r="B105" s="19"/>
      <c r="C105" s="15"/>
      <c r="D105" s="15"/>
      <c r="E105" s="15"/>
      <c r="F105" s="15"/>
      <c r="G105" s="22"/>
      <c r="H105" s="25"/>
      <c r="I105" s="23" t="str">
        <f t="shared" si="8"/>
        <v/>
      </c>
      <c r="J105" s="15"/>
      <c r="K105" s="15"/>
      <c r="L105" s="15"/>
      <c r="M105" s="15"/>
      <c r="N105" s="15"/>
      <c r="O105" s="16" t="str">
        <f t="shared" si="9"/>
        <v/>
      </c>
      <c r="P105" s="7"/>
      <c r="Q105" s="7"/>
      <c r="R105" s="7"/>
      <c r="S105" s="7"/>
      <c r="T105" s="7"/>
    </row>
    <row r="106" spans="2:20" ht="23.1" customHeight="1" x14ac:dyDescent="0.2">
      <c r="B106" s="19"/>
      <c r="C106" s="15"/>
      <c r="D106" s="15"/>
      <c r="E106" s="15"/>
      <c r="F106" s="15"/>
      <c r="G106" s="22"/>
      <c r="H106" s="25"/>
      <c r="I106" s="23" t="str">
        <f t="shared" si="8"/>
        <v/>
      </c>
      <c r="J106" s="15"/>
      <c r="K106" s="15"/>
      <c r="L106" s="15"/>
      <c r="M106" s="15"/>
      <c r="N106" s="15"/>
      <c r="O106" s="16" t="str">
        <f t="shared" si="9"/>
        <v/>
      </c>
      <c r="P106" s="7"/>
      <c r="Q106" s="7"/>
      <c r="R106" s="7"/>
      <c r="S106" s="7"/>
      <c r="T106" s="7"/>
    </row>
    <row r="107" spans="2:20" ht="23.1" customHeight="1" x14ac:dyDescent="0.2">
      <c r="B107" s="19"/>
      <c r="C107" s="15"/>
      <c r="D107" s="15"/>
      <c r="E107" s="15"/>
      <c r="F107" s="15"/>
      <c r="G107" s="22"/>
      <c r="H107" s="25"/>
      <c r="I107" s="23" t="str">
        <f t="shared" si="8"/>
        <v/>
      </c>
      <c r="J107" s="15"/>
      <c r="K107" s="15"/>
      <c r="L107" s="15"/>
      <c r="M107" s="15"/>
      <c r="N107" s="15"/>
      <c r="O107" s="16" t="str">
        <f t="shared" si="9"/>
        <v/>
      </c>
      <c r="P107" s="7"/>
      <c r="Q107" s="7"/>
      <c r="R107" s="7"/>
      <c r="S107" s="7"/>
      <c r="T107" s="7"/>
    </row>
    <row r="108" spans="2:20" ht="23.1" customHeight="1" x14ac:dyDescent="0.2">
      <c r="B108" s="19"/>
      <c r="C108" s="15"/>
      <c r="D108" s="15"/>
      <c r="E108" s="15"/>
      <c r="F108" s="15"/>
      <c r="G108" s="22"/>
      <c r="H108" s="25"/>
      <c r="I108" s="23" t="str">
        <f t="shared" si="8"/>
        <v/>
      </c>
      <c r="J108" s="15"/>
      <c r="K108" s="15"/>
      <c r="L108" s="15"/>
      <c r="M108" s="15"/>
      <c r="N108" s="15"/>
      <c r="O108" s="16" t="str">
        <f t="shared" si="9"/>
        <v/>
      </c>
      <c r="P108" s="7"/>
      <c r="Q108" s="7"/>
      <c r="R108" s="7"/>
      <c r="S108" s="7"/>
      <c r="T108" s="7"/>
    </row>
    <row r="109" spans="2:20" ht="23.1" customHeight="1" x14ac:dyDescent="0.2">
      <c r="B109" s="19"/>
      <c r="C109" s="15"/>
      <c r="D109" s="15"/>
      <c r="E109" s="15"/>
      <c r="F109" s="15"/>
      <c r="G109" s="22"/>
      <c r="H109" s="25"/>
      <c r="I109" s="23" t="str">
        <f t="shared" si="8"/>
        <v/>
      </c>
      <c r="J109" s="15"/>
      <c r="K109" s="15"/>
      <c r="L109" s="15"/>
      <c r="M109" s="15"/>
      <c r="N109" s="15"/>
      <c r="O109" s="16" t="str">
        <f t="shared" si="9"/>
        <v/>
      </c>
      <c r="P109" s="7"/>
      <c r="Q109" s="7"/>
      <c r="R109" s="7"/>
      <c r="S109" s="7"/>
      <c r="T109" s="7"/>
    </row>
    <row r="110" spans="2:20" ht="23.1" customHeight="1" x14ac:dyDescent="0.2">
      <c r="B110" s="19"/>
      <c r="C110" s="15"/>
      <c r="D110" s="15"/>
      <c r="E110" s="15"/>
      <c r="F110" s="15"/>
      <c r="G110" s="22"/>
      <c r="H110" s="25"/>
      <c r="I110" s="23" t="str">
        <f t="shared" si="8"/>
        <v/>
      </c>
      <c r="J110" s="15"/>
      <c r="K110" s="15"/>
      <c r="L110" s="15"/>
      <c r="M110" s="15"/>
      <c r="N110" s="15"/>
      <c r="O110" s="16" t="str">
        <f t="shared" si="9"/>
        <v/>
      </c>
      <c r="P110" s="7"/>
      <c r="Q110" s="7"/>
      <c r="R110" s="7"/>
      <c r="S110" s="7"/>
      <c r="T110" s="7"/>
    </row>
    <row r="111" spans="2:20" ht="23.1" customHeight="1" x14ac:dyDescent="0.2">
      <c r="B111" s="19"/>
      <c r="C111" s="15"/>
      <c r="D111" s="15"/>
      <c r="E111" s="15"/>
      <c r="F111" s="15"/>
      <c r="G111" s="22"/>
      <c r="H111" s="25"/>
      <c r="I111" s="23" t="str">
        <f t="shared" si="8"/>
        <v/>
      </c>
      <c r="J111" s="15"/>
      <c r="K111" s="15"/>
      <c r="L111" s="15"/>
      <c r="M111" s="15"/>
      <c r="N111" s="15"/>
      <c r="O111" s="16" t="str">
        <f t="shared" si="9"/>
        <v/>
      </c>
      <c r="P111" s="7"/>
      <c r="Q111" s="7"/>
      <c r="R111" s="7"/>
      <c r="S111" s="7"/>
      <c r="T111" s="7"/>
    </row>
    <row r="112" spans="2:20" ht="23.1" customHeight="1" x14ac:dyDescent="0.2">
      <c r="B112" s="19"/>
      <c r="C112" s="15"/>
      <c r="D112" s="15"/>
      <c r="E112" s="15"/>
      <c r="F112" s="15"/>
      <c r="G112" s="22"/>
      <c r="H112" s="25"/>
      <c r="I112" s="23" t="str">
        <f t="shared" ref="I112:I143" si="10">IF(G112="","",IF(F112="MXN",G112,IF(AND(F112="USD",ISNUMBER(H112),H112&gt;0),ROUND(G112*H112,2),"Falta cambio")))</f>
        <v/>
      </c>
      <c r="J112" s="15"/>
      <c r="K112" s="15"/>
      <c r="L112" s="15"/>
      <c r="M112" s="15"/>
      <c r="N112" s="15"/>
      <c r="O112" s="16" t="str">
        <f t="shared" si="9"/>
        <v/>
      </c>
      <c r="P112" s="7"/>
      <c r="Q112" s="7"/>
      <c r="R112" s="7"/>
      <c r="S112" s="7"/>
      <c r="T112" s="7"/>
    </row>
    <row r="113" spans="2:20" ht="23.1" customHeight="1" x14ac:dyDescent="0.2">
      <c r="B113" s="19"/>
      <c r="C113" s="15"/>
      <c r="D113" s="15"/>
      <c r="E113" s="15"/>
      <c r="F113" s="15"/>
      <c r="G113" s="22"/>
      <c r="H113" s="25"/>
      <c r="I113" s="23" t="str">
        <f t="shared" si="10"/>
        <v/>
      </c>
      <c r="J113" s="15"/>
      <c r="K113" s="15"/>
      <c r="L113" s="15"/>
      <c r="M113" s="15"/>
      <c r="N113" s="15"/>
      <c r="O113" s="16" t="str">
        <f t="shared" si="9"/>
        <v/>
      </c>
      <c r="P113" s="7"/>
      <c r="Q113" s="7"/>
      <c r="R113" s="7"/>
      <c r="S113" s="7"/>
      <c r="T113" s="7"/>
    </row>
    <row r="114" spans="2:20" ht="23.1" customHeight="1" x14ac:dyDescent="0.2">
      <c r="B114" s="19"/>
      <c r="C114" s="15"/>
      <c r="D114" s="15"/>
      <c r="E114" s="15"/>
      <c r="F114" s="15"/>
      <c r="G114" s="22"/>
      <c r="H114" s="25"/>
      <c r="I114" s="23" t="str">
        <f t="shared" si="10"/>
        <v/>
      </c>
      <c r="J114" s="15"/>
      <c r="K114" s="15"/>
      <c r="L114" s="15"/>
      <c r="M114" s="15"/>
      <c r="N114" s="15"/>
      <c r="O114" s="16" t="str">
        <f t="shared" si="9"/>
        <v/>
      </c>
      <c r="P114" s="7"/>
      <c r="Q114" s="7"/>
      <c r="R114" s="7"/>
      <c r="S114" s="7"/>
      <c r="T114" s="7"/>
    </row>
    <row r="115" spans="2:20" ht="23.1" customHeight="1" x14ac:dyDescent="0.2">
      <c r="B115" s="19"/>
      <c r="C115" s="15"/>
      <c r="D115" s="15"/>
      <c r="E115" s="15"/>
      <c r="F115" s="15"/>
      <c r="G115" s="22"/>
      <c r="H115" s="25"/>
      <c r="I115" s="23" t="str">
        <f t="shared" si="10"/>
        <v/>
      </c>
      <c r="J115" s="15"/>
      <c r="K115" s="15"/>
      <c r="L115" s="15"/>
      <c r="M115" s="15"/>
      <c r="N115" s="15"/>
      <c r="O115" s="16" t="str">
        <f t="shared" si="9"/>
        <v/>
      </c>
      <c r="P115" s="7"/>
      <c r="Q115" s="7"/>
      <c r="R115" s="7"/>
      <c r="S115" s="7"/>
      <c r="T115" s="7"/>
    </row>
    <row r="116" spans="2:20" ht="13.5" customHeight="1" x14ac:dyDescent="0.25"/>
    <row r="117" spans="2:20" ht="13.5" customHeight="1" x14ac:dyDescent="0.25"/>
    <row r="118" spans="2:20" ht="13.5" customHeight="1" x14ac:dyDescent="0.25"/>
    <row r="119" spans="2:20" ht="13.5" customHeight="1" x14ac:dyDescent="0.25"/>
    <row r="120" spans="2:20" ht="13.5" customHeight="1" x14ac:dyDescent="0.25"/>
    <row r="121" spans="2:20" ht="13.5" customHeight="1" x14ac:dyDescent="0.25"/>
    <row r="122" spans="2:20" ht="13.5" customHeight="1" x14ac:dyDescent="0.25"/>
    <row r="123" spans="2:20" ht="13.5" customHeight="1" x14ac:dyDescent="0.25"/>
    <row r="124" spans="2:20" ht="13.5" customHeight="1" x14ac:dyDescent="0.25"/>
    <row r="125" spans="2:20" ht="13.5" customHeight="1" x14ac:dyDescent="0.25"/>
    <row r="126" spans="2:20" ht="13.5" customHeight="1" x14ac:dyDescent="0.25"/>
    <row r="127" spans="2:20" ht="13.5" customHeight="1" x14ac:dyDescent="0.25"/>
    <row r="128" spans="2:20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</sheetData>
  <mergeCells count="25">
    <mergeCell ref="B13:O13"/>
    <mergeCell ref="B14:O14"/>
    <mergeCell ref="B6:D7"/>
    <mergeCell ref="E6:G7"/>
    <mergeCell ref="H6:J7"/>
    <mergeCell ref="K6:M7"/>
    <mergeCell ref="E9:G9"/>
    <mergeCell ref="H9:J9"/>
    <mergeCell ref="K9:M9"/>
    <mergeCell ref="B9:D9"/>
    <mergeCell ref="B10:D11"/>
    <mergeCell ref="E10:G11"/>
    <mergeCell ref="H10:J11"/>
    <mergeCell ref="K10:M11"/>
    <mergeCell ref="Q4:R4"/>
    <mergeCell ref="Q5:R5"/>
    <mergeCell ref="Q6:R6"/>
    <mergeCell ref="Q7:R7"/>
    <mergeCell ref="B2:O2"/>
    <mergeCell ref="Q2:S3"/>
    <mergeCell ref="B3:O3"/>
    <mergeCell ref="B5:D5"/>
    <mergeCell ref="E5:G5"/>
    <mergeCell ref="H5:J5"/>
    <mergeCell ref="K5:M5"/>
  </mergeCells>
  <conditionalFormatting sqref="D16:D39">
    <cfRule type="containsText" dxfId="17" priority="1" operator="containsText" text="Discovery">
      <formula>NOT(ISERROR(SEARCH(("Discovery"),(D16))))</formula>
    </cfRule>
    <cfRule type="containsText" dxfId="16" priority="2" operator="containsText" text="Qualification">
      <formula>NOT(ISERROR(SEARCH(("Qualification"),(D16))))</formula>
    </cfRule>
    <cfRule type="containsText" dxfId="15" priority="3" operator="containsText" text="Solution Fit">
      <formula>NOT(ISERROR(SEARCH(("Solution Fit"),(D16))))</formula>
    </cfRule>
    <cfRule type="containsText" dxfId="14" priority="4" operator="containsText" text="Technical Validation">
      <formula>NOT(ISERROR(SEARCH(("Technical Validation"),(D16))))</formula>
    </cfRule>
    <cfRule type="containsText" dxfId="13" priority="5" operator="containsText" text="Proposal">
      <formula>NOT(ISERROR(SEARCH(("Proposal"),(D16))))</formula>
    </cfRule>
    <cfRule type="containsText" dxfId="12" priority="6" operator="containsText" text="Negotiation">
      <formula>NOT(ISERROR(SEARCH(("Negotiation"),(D16))))</formula>
    </cfRule>
    <cfRule type="containsText" dxfId="11" priority="7" operator="containsText" text="Closed Won">
      <formula>NOT(ISERROR(SEARCH(("Closed Won"),(D16))))</formula>
    </cfRule>
    <cfRule type="containsText" dxfId="10" priority="8" operator="containsText" text="Closed Lost">
      <formula>NOT(ISERROR(SEARCH(("Closed Lost"),(D16))))</formula>
    </cfRule>
  </conditionalFormatting>
  <conditionalFormatting sqref="G16:G39">
    <cfRule type="containsText" dxfId="9" priority="9" operator="containsText" text="Commit">
      <formula>NOT(ISERROR(SEARCH(("Commit"),(G16))))</formula>
    </cfRule>
    <cfRule type="containsText" dxfId="8" priority="10" operator="containsText" text="Best Case">
      <formula>NOT(ISERROR(SEARCH(("Best Case"),(G16))))</formula>
    </cfRule>
    <cfRule type="containsText" dxfId="7" priority="11" operator="containsText" text="Pipeline">
      <formula>NOT(ISERROR(SEARCH(("Pipeline"),(G16))))</formula>
    </cfRule>
  </conditionalFormatting>
  <conditionalFormatting sqref="J16:J39">
    <cfRule type="containsText" dxfId="6" priority="12" operator="containsText" text="STALE">
      <formula>NOT(ISERROR(SEARCH(("STALE"),(J16))))</formula>
    </cfRule>
    <cfRule type="containsText" dxfId="5" priority="13" operator="containsText" text="Current">
      <formula>NOT(ISERROR(SEARCH(("Current"),(J16))))</formula>
    </cfRule>
    <cfRule type="containsText" dxfId="4" priority="14" operator="containsText" text="Closed">
      <formula>NOT(ISERROR(SEARCH(("Closed"),(J16))))</formula>
    </cfRule>
  </conditionalFormatting>
  <conditionalFormatting sqref="N16:N39">
    <cfRule type="containsText" dxfId="3" priority="15" operator="containsText" text="High">
      <formula>NOT(ISERROR(SEARCH(("High"),(N16))))</formula>
    </cfRule>
    <cfRule type="containsText" dxfId="2" priority="16" operator="containsText" text="Medium">
      <formula>NOT(ISERROR(SEARCH(("Medium"),(N16))))</formula>
    </cfRule>
    <cfRule type="containsText" dxfId="1" priority="17" operator="containsText" text="Low">
      <formula>NOT(ISERROR(SEARCH(("Low"),(N16))))</formula>
    </cfRule>
  </conditionalFormatting>
  <conditionalFormatting sqref="O16:O115">
    <cfRule type="expression" dxfId="0" priority="18">
      <formula>AND($O16&lt;&gt;"",$O16&lt;&gt;"Listo")</formula>
    </cfRule>
  </conditionalFormatting>
  <dataValidations count="5">
    <dataValidation type="list" sqref="D16:D115" xr:uid="{00000000-0002-0000-0000-000000000000}">
      <formula1>$Q$11:$Q$22</formula1>
    </dataValidation>
    <dataValidation type="list" sqref="F16:F115" xr:uid="{00000000-0002-0000-0000-000001000000}">
      <formula1>"MXN,USD"</formula1>
    </dataValidation>
    <dataValidation type="list" sqref="J16:J115" xr:uid="{00000000-0002-0000-0000-000002000000}">
      <formula1>"Pagado,Pendiente"</formula1>
    </dataValidation>
    <dataValidation type="list" sqref="K16:K115" xr:uid="{00000000-0002-0000-0000-000003000000}">
      <formula1>"Transferencia,Tarjeta,Efectivo,PayPal,Otro"</formula1>
    </dataValidation>
    <dataValidation type="whole" sqref="S4" xr:uid="{00000000-0002-0000-0000-000004000000}">
      <formula1>2000</formula1>
      <formula2>2100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Hongus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Michel Santiago Serrano</cp:lastModifiedBy>
  <dcterms:modified xsi:type="dcterms:W3CDTF">2026-09-15T05:07:11Z</dcterms:modified>
</cp:coreProperties>
</file>