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413fd1f53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stos Hongus" sheetId="1" r:id="R41d46572bed0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164" formatCode="mmm\ d\,\ yyyy"/>
    <x:numFmt numFmtId="165" formatCode="0\ &quot;days&quot;"/>
    <x:numFmt numFmtId="166" formatCode="\$#,##0;[Red]\(\$#,##0\);\-"/>
    <x:numFmt numFmtId="167" formatCode="0.0\x"/>
    <x:numFmt numFmtId="168" formatCode="0%;[Red]\(0%\);\-"/>
    <x:numFmt numFmtId="169" formatCode="#,##0;[Red]\(#,##0\);\-"/>
    <x:numFmt numFmtId="200" formatCode="General"/>
    <x:numFmt numFmtId="201" formatCode="0"/>
    <x:numFmt numFmtId="202" formatCode="dd/mm/yyyy"/>
    <x:numFmt numFmtId="203" formatCode="#,##0.00;(#,##0.00);&quot;—&quot;"/>
    <x:numFmt numFmtId="204" formatCode="0.0000"/>
    <x:numFmt numFmtId="205" formatCode="mmm"/>
  </x:numFmts>
  <x:fonts count="22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sz val="11"/>
      <x:color theme="1"/>
      <x:name val="Arial"/>
    </x:font>
    <x:font>
      <x:b/>
      <x:sz val="10"/>
      <x:color rgb="FFFFFFFF"/>
      <x:name val="Arial"/>
    </x:font>
    <x:font>
      <x:b/>
      <x:sz val="10"/>
      <x:color rgb="FFF6FBF8"/>
      <x:name val="Arial"/>
    </x:font>
    <x:font>
      <x:b/>
      <x:sz val="9"/>
      <x:color rgb="FF17212B"/>
      <x:name val="Arial"/>
    </x:font>
    <x:font>
      <x:b/>
      <x:sz val="9"/>
      <x:color rgb="FF5B6570"/>
      <x:name val="Arial"/>
    </x:font>
    <x:font>
      <x:b/>
      <x:sz val="16"/>
      <x:color rgb="FF0B3D2E"/>
      <x:name val="Arial"/>
    </x:font>
    <x:font>
      <x:b/>
      <x:sz val="16"/>
      <x:color rgb="FFB3261E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sz val="9"/>
      <x:color rgb="FF0432FF"/>
      <x:name val="Arial"/>
    </x:font>
    <x:font>
      <x:sz val="11"/>
      <x:name val="Arial"/>
    </x:font>
    <x:font>
      <x:sz val="11"/>
      <x:color rgb="FF000000"/>
      <x:name val="Arial"/>
    </x:font>
    <x:font>
      <x:sz val="10"/>
      <x:color rgb="FF17212B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sz val="10"/>
      <x:color rgb="FF102A22"/>
      <x:name val="Arial"/>
    </x:font>
    <x:font>
      <x:b/>
      <x:sz val="16"/>
      <x:color rgb="FF102A22"/>
      <x:name val="Arial"/>
    </x:font>
    <x:font>
      <x:sz val="10"/>
      <x:color rgb="FF102A22"/>
      <x:name val="Arial"/>
    </x:font>
    <x:font>
      <x:sz val="10"/>
      <x:color rgb="FFFFFFF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0F6B4F"/>
      </x:patternFill>
    </x:fill>
    <x:fill>
      <x:patternFill patternType="solid">
        <x:fgColor rgb="FFF6FB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AF5"/>
      </x:patternFill>
    </x:fill>
    <x:fill>
      <x:patternFill patternType="solid">
        <x:fgColor rgb="FFFFFFFF"/>
      </x:patternFill>
    </x:fill>
    <x:fill>
      <x:patternFill patternType="solid">
        <x:fgColor rgb="FF145C43"/>
      </x:patternFill>
    </x:fill>
    <x:fill>
      <x:patternFill patternType="solid">
        <x:fgColor rgb="FFF5F8F2"/>
      </x:patternFill>
    </x:fill>
    <x:fill>
      <x:patternFill patternType="solid">
        <x:fgColor rgb="FFFFF2CC"/>
      </x:patternFill>
    </x:fill>
  </x:fills>
  <x:borders count="22">
    <x:border/>
    <x:border/>
    <x:border/>
    <x:border/>
    <x:border/>
    <x:border/>
    <x:border/>
    <x:border/>
    <x:border/>
    <x:border/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/>
  </x:borders>
  <x:cellStyleXfs count="1">
    <x:xf numFmtId="0" fontId="0" fillId="0" borderId="0"/>
  </x:cellStyleXfs>
  <x:cellXfs count="148">
    <x:xf numFmtId="0" fontId="0" fillId="0" borderId="0" xfId="0"/>
    <x:xf numFmtId="0" fontId="10" fillId="2" borderId="20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left" vertical="center"/>
    </x:xf>
    <x:xf numFmtId="168" fontId="11" fillId="4" borderId="20" xfId="0" applyNumberFormat="1" applyFont="1" applyFill="1" applyBorder="1" applyAlignment="1">
      <x:alignment horizontal="left" vertical="center"/>
    </x:xf>
    <x:xf numFmtId="0" fontId="11" fillId="4" borderId="20" xfId="0" applyFont="1" applyFill="1" applyBorder="1" applyAlignment="1">
      <x:alignment horizontal="left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166" fontId="11" fillId="4" borderId="20" xfId="0" applyNumberFormat="1" applyFont="1" applyFill="1" applyBorder="1" applyAlignment="1">
      <x:alignment horizontal="left" vertical="center" wrapText="1"/>
    </x:xf>
    <x:xf numFmtId="168" fontId="11" fillId="4" borderId="20" xfId="0" applyNumberFormat="1" applyFont="1" applyFill="1" applyBorder="1" applyAlignment="1">
      <x:alignment horizontal="right" vertical="center" wrapText="1"/>
    </x:xf>
    <x:xf numFmtId="164" fontId="11" fillId="4" borderId="20" xfId="0" applyNumberFormat="1" applyFont="1" applyFill="1" applyBorder="1" applyAlignment="1">
      <x:alignment horizontal="left" vertical="center" wrapText="1"/>
    </x:xf>
    <x:xf numFmtId="165" fontId="11" fillId="4" borderId="20" xfId="0" applyNumberFormat="1" applyFont="1" applyFill="1" applyBorder="1" applyAlignment="1">
      <x:alignment horizontal="left" vertical="center" wrapText="1"/>
    </x:xf>
    <x:xf numFmtId="166" fontId="11" fillId="4" borderId="20" xfId="0" applyNumberFormat="1" applyFont="1" applyFill="1" applyBorder="1" applyAlignment="1">
      <x:alignment horizontal="right" vertical="center" wrapText="1"/>
    </x:xf>
    <x:xf numFmtId="0" fontId="11" fillId="7" borderId="20" xfId="0" applyFont="1" applyFill="1" applyBorder="1" applyAlignment="1">
      <x:alignment horizontal="left" vertical="center" wrapText="1"/>
    </x:xf>
    <x:xf numFmtId="0" fontId="11" fillId="7" borderId="20" xfId="0" applyFont="1" applyFill="1" applyBorder="1" applyAlignment="1">
      <x:alignment horizontal="center" vertical="center" wrapText="1"/>
    </x:xf>
    <x:xf numFmtId="166" fontId="11" fillId="7" borderId="20" xfId="0" applyNumberFormat="1" applyFont="1" applyFill="1" applyBorder="1" applyAlignment="1">
      <x:alignment horizontal="left" vertical="center" wrapText="1"/>
    </x:xf>
    <x:xf numFmtId="168" fontId="11" fillId="7" borderId="20" xfId="0" applyNumberFormat="1" applyFont="1" applyFill="1" applyBorder="1" applyAlignment="1">
      <x:alignment horizontal="right" vertical="center" wrapText="1"/>
    </x:xf>
    <x:xf numFmtId="164" fontId="11" fillId="7" borderId="20" xfId="0" applyNumberFormat="1" applyFont="1" applyFill="1" applyBorder="1" applyAlignment="1">
      <x:alignment horizontal="left" vertical="center" wrapText="1"/>
    </x:xf>
    <x:xf numFmtId="165" fontId="11" fillId="7" borderId="20" xfId="0" applyNumberFormat="1" applyFont="1" applyFill="1" applyBorder="1" applyAlignment="1">
      <x:alignment horizontal="left" vertical="center" wrapText="1"/>
    </x:xf>
    <x:xf numFmtId="166" fontId="11" fillId="7" borderId="20" xfId="0" applyNumberFormat="1" applyFont="1" applyFill="1" applyBorder="1" applyAlignment="1">
      <x:alignment horizontal="right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164" fontId="12" fillId="5" borderId="12" xfId="0" applyNumberFormat="1" applyFont="1" applyFill="1" applyBorder="1" applyAlignment="1">
      <x:alignment horizontal="center" vertical="center"/>
    </x:xf>
    <x:xf numFmtId="165" fontId="12" fillId="5" borderId="12" xfId="0" applyNumberFormat="1" applyFont="1" applyFill="1" applyBorder="1" applyAlignment="1">
      <x:alignment horizontal="center" vertical="center"/>
    </x:xf>
    <x:xf numFmtId="166" fontId="12" fillId="5" borderId="12" xfId="0" applyNumberFormat="1" applyFont="1" applyFill="1" applyBorder="1" applyAlignment="1">
      <x:alignment horizontal="center" vertical="center"/>
    </x:xf>
    <x:xf numFmtId="169" fontId="11" fillId="6" borderId="21" xfId="0" applyNumberFormat="1" applyFont="1" applyFill="1" applyBorder="1" applyAlignment="1">
      <x:alignment horizontal="center" vertical="center"/>
    </x:xf>
    <x:xf numFmtId="0" fontId="11" fillId="6" borderId="21" xfId="0" applyFont="1" applyFill="1" applyBorder="1" applyAlignment="1">
      <x:alignment horizontal="center" vertical="center"/>
    </x:xf>
    <x:xf numFmtId="0" fontId="11" fillId="4" borderId="10" xfId="0" applyFont="1" applyFill="1" applyBorder="1" applyAlignment="1">
      <x:alignment horizontal="left" vertical="center" wrapText="1"/>
    </x:xf>
    <x:xf numFmtId="0" fontId="2" fillId="0" borderId="13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166" fontId="8" fillId="6" borderId="14" xfId="0" applyNumberFormat="1" applyFont="1" applyFill="1" applyBorder="1" applyAlignment="1">
      <x:alignment horizontal="center"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2" fillId="0" borderId="18" xfId="0" applyFont="1" applyBorder="1" applyAlignment="1">
      <x:alignment vertical="center"/>
    </x:xf>
    <x:xf numFmtId="0" fontId="2" fillId="0" borderId="19" xfId="0" applyFont="1" applyBorder="1" applyAlignment="1">
      <x:alignment vertical="center"/>
    </x:xf>
    <x:xf numFmtId="167" fontId="8" fillId="6" borderId="14" xfId="0" applyNumberFormat="1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6" fillId="4" borderId="10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4" fillId="3" borderId="4" xfId="0" applyFont="1" applyFill="1" applyBorder="1" applyAlignment="1">
      <x:alignment horizontal="left"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5" fillId="2" borderId="1" xfId="0" applyFont="1" applyFill="1" applyBorder="1" applyAlignment="1">
      <x:alignment horizontal="left" vertical="center"/>
    </x:xf>
    <x:xf numFmtId="168" fontId="8" fillId="6" borderId="14" xfId="0" applyNumberFormat="1" applyFont="1" applyFill="1" applyBorder="1" applyAlignment="1">
      <x:alignment horizontal="center" vertical="center"/>
    </x:xf>
    <x:xf numFmtId="165" fontId="8" fillId="6" borderId="14" xfId="0" applyNumberFormat="1" applyFont="1" applyFill="1" applyBorder="1" applyAlignment="1">
      <x:alignment horizontal="center" vertical="center"/>
    </x:xf>
    <x:xf numFmtId="169" fontId="8" fillId="6" borderId="14" xfId="0" applyNumberFormat="1" applyFont="1" applyFill="1" applyBorder="1" applyAlignment="1">
      <x:alignment horizontal="center" vertical="center"/>
    </x:xf>
    <x:xf numFmtId="169" fontId="9" fillId="6" borderId="14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1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6" fillId="4" borderId="10" xfId="0" applyNumberFormat="1" applyFont="1" applyFill="1" applyBorder="1" applyAlignment="1">
      <x:alignment horizontal="left" vertical="center" wrapText="1"/>
    </x:xf>
    <x:xf numFmtId="0" fontId="13" fillId="0" borderId="11" xfId="0" applyNumberFormat="1" applyFont="1" applyFill="1" applyBorder="1" applyAlignment="1">
      <x:alignment vertical="center"/>
    </x:xf>
    <x:xf numFmtId="0" fontId="7" fillId="4" borderId="10" xfId="0" applyNumberFormat="1" applyFont="1" applyFill="1" applyBorder="1" applyAlignment="1">
      <x:alignment horizontal="center" vertical="center"/>
    </x:xf>
    <x:xf numFmtId="0" fontId="13" fillId="0" borderId="13" xfId="0" applyNumberFormat="1" applyFont="1" applyFill="1" applyBorder="1" applyAlignment="1">
      <x:alignment vertical="center"/>
    </x:xf>
    <x:xf numFmtId="0" fontId="13" fillId="0" borderId="15" xfId="0" applyNumberFormat="1" applyFont="1" applyFill="1" applyBorder="1" applyAlignment="1">
      <x:alignment vertical="center"/>
    </x:xf>
    <x:xf numFmtId="0" fontId="13" fillId="0" borderId="16" xfId="0" applyNumberFormat="1" applyFont="1" applyFill="1" applyBorder="1" applyAlignment="1">
      <x:alignment vertical="center"/>
    </x:xf>
    <x:xf numFmtId="0" fontId="13" fillId="0" borderId="17" xfId="0" applyNumberFormat="1" applyFont="1" applyFill="1" applyBorder="1" applyAlignment="1">
      <x:alignment vertical="center"/>
    </x:xf>
    <x:xf numFmtId="0" fontId="13" fillId="0" borderId="18" xfId="0" applyNumberFormat="1" applyFont="1" applyFill="1" applyBorder="1" applyAlignment="1">
      <x:alignment vertical="center"/>
    </x:xf>
    <x:xf numFmtId="0" fontId="13" fillId="0" borderId="19" xfId="0" applyNumberFormat="1" applyFont="1" applyFill="1" applyBorder="1" applyAlignment="1">
      <x:alignment vertical="center"/>
    </x:xf>
    <x:xf numFmtId="0" fontId="10" fillId="2" borderId="20" xfId="0" applyNumberFormat="1" applyFont="1" applyFill="1" applyBorder="1" applyAlignment="1">
      <x:alignment horizontal="center" vertical="center" wrapText="1"/>
    </x:xf>
    <x:xf numFmtId="0" fontId="11" fillId="4" borderId="20" xfId="0" applyNumberFormat="1" applyFont="1" applyFill="1" applyBorder="1" applyAlignment="1">
      <x:alignment horizontal="left" vertical="center"/>
    </x:xf>
    <x:xf numFmtId="0" fontId="11" fillId="4" borderId="10" xfId="0" applyNumberFormat="1" applyFont="1" applyFill="1" applyBorder="1" applyAlignment="1">
      <x:alignment horizontal="left" vertical="center" wrapText="1"/>
    </x:xf>
    <x:xf numFmtId="0" fontId="11" fillId="4" borderId="20" xfId="0" applyNumberFormat="1" applyFont="1" applyFill="1" applyBorder="1" applyAlignment="1">
      <x:alignment horizontal="left" vertical="center" wrapText="1"/>
    </x:xf>
    <x:xf numFmtId="0" fontId="11" fillId="4" borderId="20" xfId="0" applyNumberFormat="1" applyFont="1" applyFill="1" applyBorder="1" applyAlignment="1">
      <x:alignment horizontal="center" vertical="center" wrapText="1"/>
    </x:xf>
    <x:xf numFmtId="0" fontId="11" fillId="7" borderId="20" xfId="0" applyNumberFormat="1" applyFont="1" applyFill="1" applyBorder="1" applyAlignment="1">
      <x:alignment horizontal="left" vertical="center" wrapText="1"/>
    </x:xf>
    <x:xf numFmtId="0" fontId="11" fillId="7" borderId="20" xfId="0" applyNumberFormat="1" applyFont="1" applyFill="1" applyBorder="1" applyAlignment="1">
      <x:alignment horizontal="center" vertical="center" wrapText="1"/>
    </x:xf>
    <x:xf numFmtId="169" fontId="11" fillId="6" borderId="0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15" fillId="4" borderId="20" xfId="0" applyNumberFormat="1" applyFont="1" applyFill="1" applyBorder="1" applyAlignment="1">
      <x:alignment horizontal="left" vertical="center" wrapText="1"/>
    </x:xf>
    <x:xf numFmtId="0" fontId="15" fillId="4" borderId="20" xfId="0" applyNumberFormat="1" applyFont="1" applyFill="1" applyBorder="1" applyAlignment="1">
      <x:alignment horizontal="center" vertical="center" wrapText="1"/>
    </x:xf>
    <x:xf numFmtId="166" fontId="15" fillId="4" borderId="20" xfId="0" applyNumberFormat="1" applyFont="1" applyFill="1" applyBorder="1" applyAlignment="1">
      <x:alignment horizontal="left" vertical="center" wrapText="1"/>
    </x:xf>
    <x:xf numFmtId="168" fontId="15" fillId="4" borderId="20" xfId="0" applyNumberFormat="1" applyFont="1" applyFill="1" applyBorder="1" applyAlignment="1">
      <x:alignment horizontal="right" vertical="center" wrapText="1"/>
    </x:xf>
    <x:xf numFmtId="164" fontId="15" fillId="4" borderId="20" xfId="0" applyNumberFormat="1" applyFont="1" applyFill="1" applyBorder="1" applyAlignment="1">
      <x:alignment horizontal="left" vertical="center" wrapText="1"/>
    </x:xf>
    <x:xf numFmtId="165" fontId="15" fillId="4" borderId="20" xfId="0" applyNumberFormat="1" applyFont="1" applyFill="1" applyBorder="1" applyAlignment="1">
      <x:alignment horizontal="left" vertical="center" wrapText="1"/>
    </x:xf>
    <x:xf numFmtId="166" fontId="15" fillId="4" borderId="20" xfId="0" applyNumberFormat="1" applyFont="1" applyFill="1" applyBorder="1" applyAlignment="1">
      <x:alignment horizontal="right" vertical="center" wrapText="1"/>
    </x:xf>
    <x:xf numFmtId="0" fontId="15" fillId="7" borderId="20" xfId="0" applyNumberFormat="1" applyFont="1" applyFill="1" applyBorder="1" applyAlignment="1">
      <x:alignment horizontal="left" vertical="center" wrapText="1"/>
    </x:xf>
    <x:xf numFmtId="0" fontId="15" fillId="7" borderId="20" xfId="0" applyNumberFormat="1" applyFont="1" applyFill="1" applyBorder="1" applyAlignment="1">
      <x:alignment horizontal="center" vertical="center" wrapText="1"/>
    </x:xf>
    <x:xf numFmtId="166" fontId="15" fillId="7" borderId="20" xfId="0" applyNumberFormat="1" applyFont="1" applyFill="1" applyBorder="1" applyAlignment="1">
      <x:alignment horizontal="left" vertical="center" wrapText="1"/>
    </x:xf>
    <x:xf numFmtId="168" fontId="15" fillId="7" borderId="20" xfId="0" applyNumberFormat="1" applyFont="1" applyFill="1" applyBorder="1" applyAlignment="1">
      <x:alignment horizontal="right" vertical="center" wrapText="1"/>
    </x:xf>
    <x:xf numFmtId="164" fontId="15" fillId="7" borderId="20" xfId="0" applyNumberFormat="1" applyFont="1" applyFill="1" applyBorder="1" applyAlignment="1">
      <x:alignment horizontal="left" vertical="center" wrapText="1"/>
    </x:xf>
    <x:xf numFmtId="165" fontId="15" fillId="7" borderId="20" xfId="0" applyNumberFormat="1" applyFont="1" applyFill="1" applyBorder="1" applyAlignment="1">
      <x:alignment horizontal="left" vertical="center" wrapText="1"/>
    </x:xf>
    <x:xf numFmtId="166" fontId="15" fillId="7" borderId="20" xfId="0" applyNumberFormat="1" applyFont="1" applyFill="1" applyBorder="1" applyAlignment="1">
      <x:alignment horizontal="right" vertical="center" wrapText="1"/>
    </x:xf>
    <x:xf numFmtId="0" fontId="16" fillId="0" borderId="0" xfId="0" applyNumberFormat="1" applyFont="1" applyFill="1" applyBorder="1"/>
    <x:xf numFmtId="0" fontId="15" fillId="8" borderId="20" xfId="0" applyNumberFormat="1" applyFont="1" applyFill="1" applyBorder="1" applyAlignment="1">
      <x:alignment horizontal="left" vertical="center" wrapText="1"/>
    </x:xf>
    <x:xf numFmtId="0" fontId="15" fillId="8" borderId="20" xfId="0" applyNumberFormat="1" applyFont="1" applyFill="1" applyBorder="1" applyAlignment="1">
      <x:alignment horizontal="center" vertical="center" wrapText="1"/>
    </x:xf>
    <x:xf numFmtId="166" fontId="15" fillId="8" borderId="20" xfId="0" applyNumberFormat="1" applyFont="1" applyFill="1" applyBorder="1" applyAlignment="1">
      <x:alignment horizontal="left" vertical="center" wrapText="1"/>
    </x:xf>
    <x:xf numFmtId="168" fontId="15" fillId="8" borderId="20" xfId="0" applyNumberFormat="1" applyFont="1" applyFill="1" applyBorder="1" applyAlignment="1">
      <x:alignment horizontal="right" vertical="center" wrapText="1"/>
    </x:xf>
    <x:xf numFmtId="164" fontId="15" fillId="8" borderId="20" xfId="0" applyNumberFormat="1" applyFont="1" applyFill="1" applyBorder="1" applyAlignment="1">
      <x:alignment horizontal="left" vertical="center" wrapText="1"/>
    </x:xf>
    <x:xf numFmtId="165" fontId="15" fillId="8" borderId="20" xfId="0" applyNumberFormat="1" applyFont="1" applyFill="1" applyBorder="1" applyAlignment="1">
      <x:alignment horizontal="left" vertical="center" wrapText="1"/>
    </x:xf>
    <x:xf numFmtId="166" fontId="15" fillId="8" borderId="20" xfId="0" applyNumberFormat="1" applyFont="1" applyFill="1" applyBorder="1" applyAlignment="1">
      <x:alignment horizontal="right" vertical="center" wrapText="1"/>
    </x:xf>
    <x:xf numFmtId="0" fontId="16" fillId="8" borderId="0" xfId="0" applyNumberFormat="1" applyFont="1" applyFill="1" applyBorder="1"/>
    <x:xf numFmtId="200" fontId="15" fillId="8" borderId="20" xfId="0" applyNumberFormat="1" applyFont="1" applyFill="1" applyBorder="1" applyAlignment="1">
      <x:alignment horizontal="left" vertical="center" wrapText="1"/>
    </x:xf>
    <x:xf numFmtId="200" fontId="15" fillId="8" borderId="20" xfId="0" applyNumberFormat="1" applyFont="1" applyFill="1" applyBorder="1" applyAlignment="1">
      <x:alignment horizontal="center" vertical="center" wrapText="1"/>
    </x:xf>
    <x:xf numFmtId="200" fontId="15" fillId="8" borderId="20" xfId="0" applyNumberFormat="1" applyFont="1" applyFill="1" applyBorder="1" applyAlignment="1">
      <x:alignment horizontal="right" vertical="center" wrapText="1"/>
    </x:xf>
    <x:xf numFmtId="200" fontId="16" fillId="8" borderId="0" xfId="0" applyNumberFormat="1" applyFont="1" applyFill="1" applyBorder="1"/>
    <x:xf numFmtId="201" fontId="12" fillId="5" borderId="12" xfId="0" applyNumberFormat="1" applyFont="1" applyFill="1" applyBorder="1" applyAlignment="1">
      <x:alignment horizontal="center" vertical="center"/>
    </x:xf>
    <x:xf numFmtId="0" fontId="10" fillId="9" borderId="20" xfId="0" applyNumberFormat="1" applyFont="1" applyFill="1" applyBorder="1" applyAlignment="1">
      <x:alignment horizontal="center" vertical="center" wrapText="1"/>
    </x:xf>
    <x:xf numFmtId="200" fontId="17" fillId="8" borderId="20" xfId="0" applyNumberFormat="1" applyFont="1" applyFill="1" applyBorder="1" applyAlignment="1">
      <x:alignment horizontal="left" vertical="center" wrapText="1"/>
    </x:xf>
    <x:xf numFmtId="200" fontId="17" fillId="8" borderId="20" xfId="0" applyNumberFormat="1" applyFont="1" applyFill="1" applyBorder="1" applyAlignment="1">
      <x:alignment horizontal="center" vertical="center" wrapText="1"/>
    </x:xf>
    <x:xf numFmtId="200" fontId="17" fillId="8" borderId="20" xfId="0" applyNumberFormat="1" applyFont="1" applyFill="1" applyBorder="1" applyAlignment="1">
      <x:alignment horizontal="right" vertical="center" wrapText="1"/>
    </x:xf>
    <x:xf numFmtId="200" fontId="17" fillId="8" borderId="0" xfId="0" applyNumberFormat="1" applyFont="1" applyFill="1" applyBorder="1"/>
    <x:xf numFmtId="200" fontId="15" fillId="10" borderId="20" xfId="0" applyNumberFormat="1" applyFont="1" applyFill="1" applyBorder="1" applyAlignment="1">
      <x:alignment horizontal="left" vertical="center" wrapText="1"/>
    </x:xf>
    <x:xf numFmtId="200" fontId="16" fillId="10" borderId="0" xfId="0" applyNumberFormat="1" applyFont="1" applyFill="1" applyBorder="1"/>
    <x:xf numFmtId="200" fontId="15" fillId="10" borderId="20" xfId="0" applyNumberFormat="1" applyFont="1" applyFill="1" applyBorder="1" applyAlignment="1">
      <x:alignment horizontal="right" vertical="center" wrapText="1"/>
    </x:xf>
    <x:xf numFmtId="202" fontId="17" fillId="8" borderId="20" xfId="0" applyNumberFormat="1" applyFont="1" applyFill="1" applyBorder="1" applyAlignment="1">
      <x:alignment horizontal="left" vertical="center" wrapText="1"/>
    </x:xf>
    <x:xf numFmtId="202" fontId="17" fillId="8" borderId="0" xfId="0" applyNumberFormat="1" applyFont="1" applyFill="1" applyBorder="1"/>
    <x:xf numFmtId="203" fontId="17" fillId="8" borderId="20" xfId="0" applyNumberFormat="1" applyFont="1" applyFill="1" applyBorder="1" applyAlignment="1">
      <x:alignment horizontal="center" vertical="center" wrapText="1"/>
    </x:xf>
    <x:xf numFmtId="203" fontId="17" fillId="8" borderId="20" xfId="0" applyNumberFormat="1" applyFont="1" applyFill="1" applyBorder="1" applyAlignment="1">
      <x:alignment horizontal="left" vertical="center" wrapText="1"/>
    </x:xf>
    <x:xf numFmtId="203" fontId="15" fillId="10" borderId="20" xfId="0" applyNumberFormat="1" applyFont="1" applyFill="1" applyBorder="1" applyAlignment="1">
      <x:alignment horizontal="left" vertical="center" wrapText="1"/>
    </x:xf>
    <x:xf numFmtId="203" fontId="17" fillId="8" borderId="0" xfId="0" applyNumberFormat="1" applyFont="1" applyFill="1" applyBorder="1"/>
    <x:xf numFmtId="203" fontId="16" fillId="10" borderId="0" xfId="0" applyNumberFormat="1" applyFont="1" applyFill="1" applyBorder="1"/>
    <x:xf numFmtId="204" fontId="17" fillId="8" borderId="20" xfId="0" applyNumberFormat="1" applyFont="1" applyFill="1" applyBorder="1" applyAlignment="1">
      <x:alignment horizontal="left" vertical="center" wrapText="1"/>
    </x:xf>
    <x:xf numFmtId="204" fontId="17" fillId="8" borderId="0" xfId="0" applyNumberFormat="1" applyFont="1" applyFill="1" applyBorder="1"/>
    <x:xf numFmtId="0" fontId="11" fillId="11" borderId="20" xfId="0" applyNumberFormat="1" applyFont="1" applyFill="1" applyBorder="1" applyAlignment="1">
      <x:alignment horizontal="left" vertical="center"/>
    </x:xf>
    <x:xf numFmtId="0" fontId="3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horizontal="left" vertical="center"/>
    </x:xf>
    <x:xf numFmtId="0" fontId="6" fillId="11" borderId="10" xfId="0" applyNumberFormat="1" applyFont="1" applyFill="1" applyBorder="1" applyAlignment="1">
      <x:alignment horizontal="left" vertical="center" wrapText="1"/>
    </x:xf>
    <x:xf numFmtId="200" fontId="11" fillId="11" borderId="20" xfId="0" applyNumberFormat="1" applyFont="1" applyFill="1" applyBorder="1" applyAlignment="1">
      <x:alignment horizontal="left" vertical="center"/>
    </x:xf>
    <x:xf numFmtId="200" fontId="3" fillId="11" borderId="0" xfId="0" applyNumberFormat="1" applyFont="1" applyFill="1" applyBorder="1" applyAlignment="1">
      <x:alignment vertical="center"/>
    </x:xf>
    <x:xf numFmtId="200" fontId="4" fillId="11" borderId="0" xfId="0" applyNumberFormat="1" applyFont="1" applyFill="1" applyBorder="1" applyAlignment="1">
      <x:alignment horizontal="left" vertical="center"/>
    </x:xf>
    <x:xf numFmtId="200" fontId="6" fillId="11" borderId="10" xfId="0" applyNumberFormat="1" applyFont="1" applyFill="1" applyBorder="1" applyAlignment="1">
      <x:alignment horizontal="left" vertical="center" wrapText="1"/>
    </x:xf>
    <x:xf numFmtId="200" fontId="18" fillId="11" borderId="20" xfId="0" applyNumberFormat="1" applyFont="1" applyFill="1" applyBorder="1" applyAlignment="1">
      <x:alignment horizontal="left" vertical="center"/>
    </x:xf>
    <x:xf numFmtId="200" fontId="18" fillId="11" borderId="0" xfId="0" applyNumberFormat="1" applyFont="1" applyFill="1" applyBorder="1" applyAlignment="1">
      <x:alignment vertical="center"/>
    </x:xf>
    <x:xf numFmtId="200" fontId="18" fillId="11" borderId="0" xfId="0" applyNumberFormat="1" applyFont="1" applyFill="1" applyBorder="1" applyAlignment="1">
      <x:alignment horizontal="left" vertical="center"/>
    </x:xf>
    <x:xf numFmtId="200" fontId="18" fillId="11" borderId="10" xfId="0" applyNumberFormat="1" applyFont="1" applyFill="1" applyBorder="1" applyAlignment="1">
      <x:alignment horizontal="left" vertical="center" wrapText="1"/>
    </x:xf>
    <x:xf numFmtId="203" fontId="8" fillId="6" borderId="14" xfId="0" applyNumberFormat="1" applyFont="1" applyFill="1" applyBorder="1" applyAlignment="1">
      <x:alignment horizontal="center" vertical="center"/>
    </x:xf>
    <x:xf numFmtId="201" fontId="8" fillId="6" borderId="14" xfId="0" applyNumberFormat="1" applyFont="1" applyFill="1" applyBorder="1" applyAlignment="1">
      <x:alignment horizontal="center" vertical="center"/>
    </x:xf>
    <x:xf numFmtId="201" fontId="9" fillId="6" borderId="14" xfId="0" applyNumberFormat="1" applyFont="1" applyFill="1" applyBorder="1" applyAlignment="1">
      <x:alignment horizontal="center" vertical="center"/>
    </x:xf>
    <x:xf numFmtId="205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203" fontId="14" fillId="0" borderId="0" xfId="0" applyNumberFormat="1" applyFont="1" applyFill="1" applyBorder="1" applyAlignment="1">
      <x:alignment vertical="center"/>
    </x:xf>
    <x:xf numFmtId="201" fontId="19" fillId="6" borderId="14" xfId="0" applyNumberFormat="1" applyFont="1" applyFill="1" applyBorder="1" applyAlignment="1">
      <x:alignment horizontal="center" vertical="center"/>
    </x:xf>
    <x:xf numFmtId="0" fontId="20" fillId="0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/>
    <x:xf numFmtId="205" fontId="20" fillId="0" borderId="0" xfId="0" applyNumberFormat="1" applyFont="1" applyFill="1" applyBorder="1" applyAlignment="1">
      <x:alignment vertical="center"/>
    </x:xf>
    <x:xf numFmtId="203" fontId="20" fillId="0" borderId="0" xfId="0" applyNumberFormat="1" applyFont="1" applyFill="1" applyBorder="1" applyAlignment="1">
      <x:alignment vertical="center"/>
    </x:xf>
    <x:xf numFmtId="0" fontId="20" fillId="9" borderId="0" xfId="0" applyNumberFormat="1" applyFont="1" applyFill="1" applyBorder="1" applyAlignment="1">
      <x:alignment vertical="center"/>
    </x:xf>
    <x:xf numFmtId="0" fontId="21" fillId="9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8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E4C5C7"/>
        </x:patternFill>
      </x:fill>
    </x:dxf>
    <x:dxf>
      <x:font>
        <x:b/>
        <x:color rgb="FF0B3D2E"/>
      </x:font>
      <x:fill>
        <x:patternFill>
          <x:bgColor rgb="FF66BB8A"/>
        </x:patternFill>
      </x:fill>
    </x:dxf>
    <x:dxf>
      <x:font>
        <x:b/>
        <x:color rgb="FFA64B00"/>
      </x:font>
      <x:fill>
        <x:patternFill>
          <x:bgColor rgb="FFF6C9A8"/>
        </x:patternFill>
      </x:fill>
    </x:dxf>
    <x:dxf>
      <x:font>
        <x:b/>
        <x:color rgb="FF8A6400"/>
      </x:font>
      <x:fill>
        <x:patternFill>
          <x:bgColor rgb="FFF6E7B8"/>
        </x:patternFill>
      </x:fill>
    </x:dxf>
    <x:dxf>
      <x:font>
        <x:b/>
        <x:color rgb="FF0B3D2E"/>
      </x:font>
      <x:fill>
        <x:patternFill>
          <x:bgColor rgb="FF9ACFB5"/>
        </x:patternFill>
      </x:fill>
    </x:dxf>
    <x:dxf>
      <x:font>
        <x:b/>
        <x:color rgb="FF0B3D2E"/>
      </x:font>
      <x:fill>
        <x:patternFill>
          <x:bgColor rgb="FFB5DEC8"/>
        </x:patternFill>
      </x:fill>
    </x:dxf>
    <x:dxf>
      <x:font>
        <x:b/>
        <x:color rgb="FF0B3D2E"/>
      </x:font>
      <x:fill>
        <x:patternFill>
          <x:bgColor rgb="FFCDEBDD"/>
        </x:patternFill>
      </x:fill>
    </x:dxf>
    <x:dxf>
      <x:font>
        <x:b/>
        <x:color rgb="FF0B3D2E"/>
      </x:font>
      <x:fill>
        <x:patternFill>
          <x:bgColor rgb="FFDDEFE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5edb4d3ca4826" /><Relationship Type="http://schemas.openxmlformats.org/officeDocument/2006/relationships/theme" Target="/xl/theme/theme1.xml" Id="R2ae4ef0c00c749d4" /><Relationship Type="http://schemas.openxmlformats.org/officeDocument/2006/relationships/sharedStrings" Target="/xl/sharedStrings.xml" Id="R7917c6aec60345a8" /><Relationship Type="http://schemas.openxmlformats.org/officeDocument/2006/relationships/worksheet" Target="/xl/worksheets/sheet1.xml" Id="R41d46572bed042a0" /></Relationships>
</file>

<file path=xl/tables/table1.xml><?xml version="1.0" encoding="utf-8"?>
<x:table xmlns:x="http://schemas.openxmlformats.org/spreadsheetml/2006/main" id="1" name="GastosHongus" displayName="GastosHongus" ref="B15:O115" headerRowCount="1" totalsRowCount="0" totalsRowShown="0">
  <x:tableColumns count="14">
    <x:tableColumn id="1" name="Fecha del gasto"/>
    <x:tableColumn id="2" name="Proveedor"/>
    <x:tableColumn id="3" name="Categoría"/>
    <x:tableColumn id="4" name="Concepto"/>
    <x:tableColumn id="5" name="Moneda"/>
    <x:tableColumn id="6" name="Importe original"/>
    <x:tableColumn id="7" name="MXN por 1 USD"/>
    <x:tableColumn id="8" name="Importe en MXN"/>
    <x:tableColumn id="9" name="Estado de pago"/>
    <x:tableColumn id="10" name="Medio de pago"/>
    <x:tableColumn id="11" name="Responsable"/>
    <x:tableColumn id="12" name="Comprobante / enlace"/>
    <x:tableColumn id="13" name="Notas"/>
    <x:tableColumn id="14" name="Revis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e222e6f88a4ecd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3" ySplit="15" topLeftCell="D16" activePane="bottomRight" state="frozen"/>
    </ns0:sheetView>
  </ns0:sheetViews>
  <ns0:sheetFormatPr baseColWidth="10" defaultColWidth="12.6640625" defaultRowHeight="15"/>
  <ns0:cols>
    <ns0:col min="1" max="1" width="3.33203125" style="18" customWidth="1"/>
    <ns0:col min="2" max="2" width="15" style="18" hidden="0" customWidth="1"/>
    <ns0:col min="3" max="3" width="23" style="18" hidden="0" customWidth="1"/>
    <ns0:col min="4" max="4" width="25" style="18" hidden="0" customWidth="1"/>
    <ns0:col min="5" max="5" width="32" style="18" hidden="0" customWidth="1"/>
    <ns0:col min="6" max="6" width="11" style="18" hidden="0" customWidth="1"/>
    <ns0:col min="7" max="8" width="18" style="18" customWidth="1"/>
    <ns0:col min="9" max="9" width="20" style="18" hidden="0" customWidth="1"/>
    <ns0:col min="10" max="10" width="18" style="18" hidden="0" customWidth="1"/>
    <ns0:col min="11" max="11" width="20" style="18" hidden="0" customWidth="1"/>
    <ns0:col min="12" max="13" width="20" style="18" customWidth="1"/>
    <ns0:col min="14" max="14" width="30" style="18" hidden="0" customWidth="1"/>
    <ns0:col min="15" max="15" width="24" style="18" hidden="0" customWidth="1"/>
    <ns0:col min="16" max="16" width="3" style="18" customWidth="1"/>
    <ns0:col min="17" max="17" width="29" style="18" hidden="0" customWidth="1"/>
    <ns0:col min="18" max="18" width="18" style="18" hidden="0" customWidth="1"/>
    <ns0:col min="19" max="19" width="18" style="18" hidden="0" customWidth="1"/>
    <ns0:col min="20" max="27" width="8.83203125" style="18" customWidth="1"/>
    <ns0:col min="28" max="16384" width="12.6640625" style="18" customWidth="0"/>
    <ns0:col min="7" max="7" width="19" hidden="0" customWidth="1"/>
    <ns0:col min="8" max="8" width="18" hidden="0" customWidth="1"/>
    <ns0:col min="12" max="12" width="19" hidden="0" customWidth="1"/>
    <ns0:col min="13" max="13" width="28" hidden="0" customWidth="1"/>
    <ns0:col min="20" max="20" width="22" hidden="0" customWidth="1"/>
  </ns0:cols>
  <ns0:sheetData>
    <ns0:row r="2" ht="24" customHeight="1">
      <ns0:c r="B2" s="52" t="str">
        <ns0:v>Hongus · Libro de gastos</ns0:v>
      </ns0:c>
      <ns0:c r="C2" s="53"/>
      <ns0:c r="D2" s="53"/>
      <ns0:c r="E2" s="53"/>
      <ns0:c r="F2" s="53"/>
      <ns0:c r="G2" s="53"/>
      <ns0:c r="H2" s="53"/>
      <ns0:c r="I2" s="53"/>
      <ns0:c r="J2" s="53"/>
      <ns0:c r="K2" s="53"/>
      <ns0:c r="L2" s="53"/>
      <ns0:c r="M2" s="53"/>
      <ns0:c r="N2" s="53"/>
      <ns0:c r="O2" s="53"/>
      <ns0:c r="P2" s="54"/>
      <ns0:c r="Q2" s="55" t="str">
        <ns0:v>Configuración</ns0:v>
      </ns0:c>
      <ns0:c r="R2" s="53"/>
      <ns0:c r="S2" s="53"/>
      <ns0:c r="T2" s="56"/>
    </ns0:row>
    <ns0:row r="3" ht="24" customHeight="1">
      <ns0:c r="B3" s="57" t="str">
        <ns0:v>Registro en MXN y USD. Resumen del año seleccionado.</ns0:v>
      </ns0:c>
      <ns0:c r="C3" s="53"/>
      <ns0:c r="D3" s="53"/>
      <ns0:c r="E3" s="53"/>
      <ns0:c r="F3" s="53"/>
      <ns0:c r="G3" s="53"/>
      <ns0:c r="H3" s="53"/>
      <ns0:c r="I3" s="53"/>
      <ns0:c r="J3" s="53"/>
      <ns0:c r="K3" s="53"/>
      <ns0:c r="L3" s="53"/>
      <ns0:c r="M3" s="53"/>
      <ns0:c r="N3" s="53"/>
      <ns0:c r="O3" s="53"/>
      <ns0:c r="P3" s="54"/>
      <ns0:c r="Q3" s="53"/>
      <ns0:c r="R3" s="53"/>
      <ns0:c r="S3" s="53"/>
      <ns0:c r="T3" s="56"/>
    </ns0:row>
    <ns0:row r="4" ht="13.5" customHeight="1">
      <ns0:c r="B4" s="54"/>
      <ns0:c r="C4" s="54"/>
      <ns0:c r="D4" s="54"/>
      <ns0:c r="E4" s="54"/>
      <ns0:c r="F4" s="54"/>
      <ns0:c r="G4" s="54"/>
      <ns0:c r="H4" s="54"/>
      <ns0:c r="I4" s="54"/>
      <ns0:c r="J4" s="54"/>
      <ns0:c r="K4" s="54"/>
      <ns0:c r="L4" s="54"/>
      <ns0:c r="M4" s="54"/>
      <ns0:c r="N4" s="54"/>
      <ns0:c r="O4" s="54"/>
      <ns0:c r="P4" s="54"/>
      <ns0:c r="Q4" s="58" t="str">
        <ns0:v>Año del resumen</ns0:v>
      </ns0:c>
      <ns0:c r="R4" s="59"/>
      <ns0:c r="S4" s="103" t="n">
        <ns0:v>2026</ns0:v>
      </ns0:c>
      <ns0:c r="T4" s="56"/>
    </ns0:row>
    <ns0:row r="5" ht="19.5" customHeight="1">
      <ns0:c r="B5" s="60" t="str">
        <ns0:v>GASTOS EN MXN</ns0:v>
      </ns0:c>
      <ns0:c r="C5" s="61"/>
      <ns0:c r="D5" s="59"/>
      <ns0:c r="E5" s="60" t="str">
        <ns0:v>GASTOS EN USD</ns0:v>
      </ns0:c>
      <ns0:c r="F5" s="61"/>
      <ns0:c r="G5" s="59"/>
      <ns0:c r="H5" s="60" t="str">
        <ns0:v>TOTAL CONVERTIDO A MXN</ns0:v>
      </ns0:c>
      <ns0:c r="I5" s="61"/>
      <ns0:c r="J5" s="59"/>
      <ns0:c r="K5" s="60" t="str">
        <ns0:v>USD SIN TIPO DE CAMBIO</ns0:v>
      </ns0:c>
      <ns0:c r="L5" s="61"/>
      <ns0:c r="M5" s="59"/>
      <ns0:c r="N5" s="54"/>
      <ns0:c r="O5" s="54"/>
      <ns0:c r="P5" s="54"/>
      <ns0:c r="Q5" s="58" t="str">
        <ns0:v>Peso mexicano</ns0:v>
      </ns0:c>
      <ns0:c r="R5" s="59"/>
      <ns0:c r="S5" s="21" t="str">
        <ns0:v>MXN</ns0:v>
      </ns0:c>
      <ns0:c r="T5" s="56"/>
    </ns0:row>
    <ns0:row r="6" ht="24.75" customHeight="1">
      <ns0:c r="B6" s="133" t="n">
        <ns0:f>SUMIFS($G$16:$G$115,$F$16:$F$115,"MXN",$B$16:$B$115,"&gt;="&amp;DATE($S$4,1,1),$B$16:$B$115,"&lt;"&amp;DATE($S$4+1,1,1))</ns0:f>
        <ns0:v>0</ns0:v>
      </ns0:c>
      <ns0:c r="C6" s="62"/>
      <ns0:c r="D6" s="63"/>
      <ns0:c r="E6" s="133" t="n">
        <ns0:f>SUMIFS($G$16:$G$115,$F$16:$F$115,"USD",$B$16:$B$115,"&gt;="&amp;DATE($S$4,1,1),$B$16:$B$115,"&lt;"&amp;DATE($S$4+1,1,1))</ns0:f>
        <ns0:v>0</ns0:v>
      </ns0:c>
      <ns0:c r="F6" s="62"/>
      <ns0:c r="G6" s="63"/>
      <ns0:c r="H6" s="133" t="n">
        <ns0:f>IF(K6&gt;0,"Falta cambio",SUMIFS($I$16:$I$115,$B$16:$B$115,"&gt;="&amp;DATE($S$4,1,1),$B$16:$B$115,"&lt;"&amp;DATE($S$4+1,1,1)))</ns0:f>
        <ns0:v>0</ns0:v>
      </ns0:c>
      <ns0:c r="I6" s="62"/>
      <ns0:c r="J6" s="63"/>
      <ns0:c r="K6" s="134" t="n">
        <ns0:f>COUNTIFS($O$16:$O$115,"Falta cambio",$B$16:$B$115,"&gt;="&amp;DATE($S$4,1,1),$B$16:$B$115,"&lt;"&amp;DATE($S$4+1,1,1))</ns0:f>
        <ns0:v>0</ns0:v>
      </ns0:c>
      <ns0:c r="L6" s="62"/>
      <ns0:c r="M6" s="63"/>
      <ns0:c r="N6" s="54"/>
      <ns0:c r="O6" s="54"/>
      <ns0:c r="P6" s="54"/>
      <ns0:c r="Q6" s="58" t="str">
        <ns0:v>Dólar estadounidense</ns0:v>
      </ns0:c>
      <ns0:c r="R6" s="59"/>
      <ns0:c r="S6" s="22" t="str">
        <ns0:v>USD</ns0:v>
      </ns0:c>
      <ns0:c r="T6" s="56"/>
    </ns0:row>
    <ns0:row r="7" ht="24.75" customHeight="1">
      <ns0:c r="B7" s="64"/>
      <ns0:c r="C7" s="65"/>
      <ns0:c r="D7" s="66"/>
      <ns0:c r="E7" s="64"/>
      <ns0:c r="F7" s="65"/>
      <ns0:c r="G7" s="66"/>
      <ns0:c r="H7" s="64"/>
      <ns0:c r="I7" s="65"/>
      <ns0:c r="J7" s="66"/>
      <ns0:c r="K7" s="64"/>
      <ns0:c r="L7" s="65"/>
      <ns0:c r="M7" s="66"/>
      <ns0:c r="N7" s="54"/>
      <ns0:c r="O7" s="54"/>
      <ns0:c r="P7" s="54"/>
      <ns0:c r="Q7" s="58" t="str">
        <ns0:v>Capacidad</ns0:v>
      </ns0:c>
      <ns0:c r="R7" s="59"/>
      <ns0:c r="S7" s="21" t="str">
        <ns0:v>100 gastos</ns0:v>
      </ns0:c>
      <ns0:c r="T7" s="56"/>
    </ns0:row>
    <ns0:row r="8" ht="13.5" customHeight="1">
      <ns0:c r="B8" s="54"/>
      <ns0:c r="C8" s="54"/>
      <ns0:c r="D8" s="54"/>
      <ns0:c r="E8" s="54"/>
      <ns0:c r="F8" s="54"/>
      <ns0:c r="G8" s="54"/>
      <ns0:c r="H8" s="54"/>
      <ns0:c r="I8" s="54"/>
      <ns0:c r="J8" s="54"/>
      <ns0:c r="K8" s="54"/>
      <ns0:c r="L8" s="54"/>
      <ns0:c r="M8" s="54"/>
      <ns0:c r="N8" s="54"/>
      <ns0:c r="O8" s="54"/>
      <ns0:c r="P8" s="54"/>
      <ns0:c r="Q8" s="54"/>
      <ns0:c r="R8" s="54"/>
      <ns0:c r="S8" s="54"/>
      <ns0:c r="T8" s="56"/>
    </ns0:row>
    <ns0:row r="9" ht="19.5" customHeight="1">
      <ns0:c r="B9" s="60" t="str">
        <ns0:v>PAGADOS · MXN CONVERTIDOS</ns0:v>
      </ns0:c>
      <ns0:c r="C9" s="61"/>
      <ns0:c r="D9" s="59"/>
      <ns0:c r="E9" s="60" t="str">
        <ns0:v>PENDIENTES · MXN CONVERTIDOS</ns0:v>
      </ns0:c>
      <ns0:c r="F9" s="61"/>
      <ns0:c r="G9" s="59"/>
      <ns0:c r="H9" s="60" t="str">
        <ns0:v>GASTOS DEL AÑO</ns0:v>
      </ns0:c>
      <ns0:c r="I9" s="61"/>
      <ns0:c r="J9" s="59"/>
      <ns0:c r="K9" s="60" t="str">
        <ns0:v>REGISTROS POR REVISAR</ns0:v>
      </ns0:c>
      <ns0:c r="L9" s="61"/>
      <ns0:c r="M9" s="59"/>
      <ns0:c r="N9" s="54"/>
      <ns0:c r="O9" s="54"/>
      <ns0:c r="P9" s="54"/>
      <ns0:c r="Q9" s="54"/>
      <ns0:c r="R9" s="54"/>
      <ns0:c r="S9" s="54"/>
      <ns0:c r="T9" s="56"/>
    </ns0:row>
    <ns0:row r="10" ht="24.75" customHeight="1">
      <ns0:c r="B10" s="133" t="n">
        <ns0:f>IF(COUNTIFS($O$16:$O$115,"Falta cambio",$J$16:$J$115,"Pagado",$B$16:$B$115,"&gt;="&amp;DATE($S$4,1,1),$B$16:$B$115,"&lt;"&amp;DATE($S$4+1,1,1))&gt;0,"Falta cambio",SUMIFS($I$16:$I$115,$J$16:$J$115,"Pagado",$B$16:$B$115,"&gt;="&amp;DATE($S$4,1,1),$B$16:$B$115,"&lt;"&amp;DATE($S$4+1,1,1)))</ns0:f>
        <ns0:v>0</ns0:v>
      </ns0:c>
      <ns0:c r="C10" s="62"/>
      <ns0:c r="D10" s="63"/>
      <ns0:c r="E10" s="133" t="n">
        <ns0:f>IF(COUNTIFS($O$16:$O$115,"Falta cambio",$J$16:$J$115,"Pendiente",$B$16:$B$115,"&gt;="&amp;DATE($S$4,1,1),$B$16:$B$115,"&lt;"&amp;DATE($S$4+1,1,1))&gt;0,"Falta cambio",SUMIFS($I$16:$I$115,$J$16:$J$115,"Pendiente",$B$16:$B$115,"&gt;="&amp;DATE($S$4,1,1),$B$16:$B$115,"&lt;"&amp;DATE($S$4+1,1,1)))</ns0:f>
        <ns0:v>0</ns0:v>
      </ns0:c>
      <ns0:c r="F10" s="62"/>
      <ns0:c r="G10" s="63"/>
      <ns0:c r="H10" s="134" t="n">
        <ns0:f>COUNTIFS($B$16:$B$115,"&gt;="&amp;DATE($S$4,1,1),$B$16:$B$115,"&lt;"&amp;DATE($S$4+1,1,1))</ns0:f>
        <ns0:v>0</ns0:v>
      </ns0:c>
      <ns0:c r="I10" s="62"/>
      <ns0:c r="J10" s="63"/>
      <ns0:c r="K10" s="141" t="n">
        <ns0:f>COUNTIF($O$16:$O$115,"Completar datos")+COUNTIF($O$16:$O$115,"Revisar moneda")+COUNTIF($O$16:$O$115,"Falta cambio")</ns0:f>
        <ns0:v>0</ns0:v>
      </ns0:c>
      <ns0:c r="L10" s="62"/>
      <ns0:c r="M10" s="63"/>
      <ns0:c r="N10" s="54"/>
      <ns0:c r="O10" s="54"/>
      <ns0:c r="P10" s="54"/>
      <ns0:c r="Q10" s="67" t="str">
        <ns0:v>Categorías editables</ns0:v>
      </ns0:c>
      <ns0:c r="R10"/>
      <ns0:c r="S10"/>
      <ns0:c r="T10"/>
    </ns0:row>
    <ns0:row r="11" ht="24.75" customHeight="1">
      <ns0:c r="B11" s="64"/>
      <ns0:c r="C11" s="65"/>
      <ns0:c r="D11" s="66"/>
      <ns0:c r="E11" s="64"/>
      <ns0:c r="F11" s="65"/>
      <ns0:c r="G11" s="66"/>
      <ns0:c r="H11" s="64"/>
      <ns0:c r="I11" s="65"/>
      <ns0:c r="J11" s="66"/>
      <ns0:c r="K11" s="64"/>
      <ns0:c r="L11" s="65"/>
      <ns0:c r="M11" s="66"/>
      <ns0:c r="N11" s="54"/>
      <ns0:c r="O11" s="54"/>
      <ns0:c r="P11" s="54"/>
      <ns0:c r="Q11" s="129" t="str">
        <ns0:v>Software y suscripciones</ns0:v>
      </ns0:c>
      <ns0:c r="R11"/>
      <ns0:c r="S11"/>
      <ns0:c r="T11"/>
    </ns0:row>
    <ns0:row r="12" ht="13.5" customHeight="1">
      <ns0:c r="B12" s="54"/>
      <ns0:c r="C12" s="54"/>
      <ns0:c r="D12" s="54"/>
      <ns0:c r="E12" s="54"/>
      <ns0:c r="F12" s="54"/>
      <ns0:c r="G12" s="54"/>
      <ns0:c r="H12" s="54"/>
      <ns0:c r="I12" s="54"/>
      <ns0:c r="J12" s="54"/>
      <ns0:c r="K12" s="54"/>
      <ns0:c r="L12" s="54"/>
      <ns0:c r="M12" s="54"/>
      <ns0:c r="N12" s="54"/>
      <ns0:c r="O12" s="54"/>
      <ns0:c r="P12" s="54"/>
      <ns0:c r="Q12" s="129" t="str">
        <ns0:v>Servidores y dominio</ns0:v>
      </ns0:c>
      <ns0:c r="R12"/>
      <ns0:c r="S12"/>
      <ns0:c r="T12"/>
    </ns0:row>
    <ns0:row r="13" ht="13.5" customHeight="1">
      <ns0:c r="B13" s="55" t="str">
        <ns0:v>Registro de gastos</ns0:v>
      </ns0:c>
      <ns0:c r="C13" s="53"/>
      <ns0:c r="D13" s="53"/>
      <ns0:c r="E13" s="53"/>
      <ns0:c r="F13" s="53"/>
      <ns0:c r="G13" s="53"/>
      <ns0:c r="H13" s="53"/>
      <ns0:c r="I13" s="53"/>
      <ns0:c r="J13" s="53"/>
      <ns0:c r="K13" s="53"/>
      <ns0:c r="L13" s="53"/>
      <ns0:c r="M13" s="53"/>
      <ns0:c r="N13" s="53"/>
      <ns0:c r="O13" s="53"/>
      <ns0:c r="P13" s="54"/>
      <ns0:c r="Q13" s="129" t="str">
        <ns0:v>Desarrollo</ns0:v>
      </ns0:c>
      <ns0:c r="R13"/>
      <ns0:c r="S13"/>
      <ns0:c r="T13"/>
    </ns0:row>
    <ns0:row r="14" ht="27.75" customHeight="1">
      <ns0:c r="B14" s="69" t="str">
        <ns0:v>Llena B:H y J:N. En USD captura MXN por 1 USD; en MXN deja el cambio vacío. I y O se calculan. Importes con impuestos incluidos.</ns0:v>
      </ns0:c>
      <ns0:c r="C14" s="61"/>
      <ns0:c r="D14" s="61"/>
      <ns0:c r="E14" s="61"/>
      <ns0:c r="F14" s="61"/>
      <ns0:c r="G14" s="61"/>
      <ns0:c r="H14" s="61"/>
      <ns0:c r="I14" s="61"/>
      <ns0:c r="J14" s="61"/>
      <ns0:c r="K14" s="61"/>
      <ns0:c r="L14" s="61"/>
      <ns0:c r="M14" s="61"/>
      <ns0:c r="N14" s="61"/>
      <ns0:c r="O14" s="59"/>
      <ns0:c r="P14" s="54"/>
      <ns0:c r="Q14" s="129" t="str">
        <ns0:v>Diseño</ns0:v>
      </ns0:c>
      <ns0:c r="R14"/>
      <ns0:c r="S14"/>
      <ns0:c r="T14"/>
    </ns0:row>
    <ns0:row r="15" ht="32" customHeight="1">
      <ns0:c r="B15" s="104" t="str">
        <ns0:v>Fecha del gasto</ns0:v>
      </ns0:c>
      <ns0:c r="C15" s="104" t="str">
        <ns0:v>Proveedor</ns0:v>
      </ns0:c>
      <ns0:c r="D15" s="104" t="str">
        <ns0:v>Categoría</ns0:v>
      </ns0:c>
      <ns0:c r="E15" s="104" t="str">
        <ns0:v>Concepto</ns0:v>
      </ns0:c>
      <ns0:c r="F15" s="104" t="str">
        <ns0:v>Moneda</ns0:v>
      </ns0:c>
      <ns0:c r="G15" s="104" t="str">
        <ns0:v>Importe original</ns0:v>
      </ns0:c>
      <ns0:c r="H15" s="104" t="str">
        <ns0:v>MXN por 1 USD</ns0:v>
      </ns0:c>
      <ns0:c r="I15" s="104" t="str">
        <ns0:v>Importe en MXN</ns0:v>
      </ns0:c>
      <ns0:c r="J15" s="104" t="str">
        <ns0:v>Estado de pago</ns0:v>
      </ns0:c>
      <ns0:c r="K15" s="104" t="str">
        <ns0:v>Medio de pago</ns0:v>
      </ns0:c>
      <ns0:c r="L15" s="104" t="str">
        <ns0:v>Responsable</ns0:v>
      </ns0:c>
      <ns0:c r="M15" s="104" t="str">
        <ns0:v>Comprobante / enlace</ns0:v>
      </ns0:c>
      <ns0:c r="N15" s="104" t="str">
        <ns0:v>Notas</ns0:v>
      </ns0:c>
      <ns0:c r="O15" s="104" t="str">
        <ns0:v>Revisión</ns0:v>
      </ns0:c>
      <ns0:c r="P15" s="54"/>
      <ns0:c r="Q15" s="129" t="str">
        <ns0:v>Marketing</ns0:v>
      </ns0:c>
      <ns0:c r="R15"/>
      <ns0:c r="S15"/>
      <ns0:c r="T15"/>
    </ns0:row>
    <ns0:row r="16" ht="23" customHeight="1">
      <ns0:c r="B16" s="112"/>
      <ns0:c r="C16" s="105"/>
      <ns0:c r="D16" s="106"/>
      <ns0:c r="E16" s="105"/>
      <ns0:c r="F16" s="107"/>
      <ns0:c r="G16" s="114"/>
      <ns0:c r="H16" s="119"/>
      <ns0:c r="I16" s="116" t="str">
        <ns0:f>IF(G16="","",IF(F16="MXN",G16,IF(AND(F16="USD",ISNUMBER(H16),H16&gt;0),ROUND(G16*H16,2),"Falta cambio")))</ns0:f>
      </ns0:c>
      <ns0:c r="J16" s="106"/>
      <ns0:c r="K16" s="105"/>
      <ns0:c r="L16" s="105"/>
      <ns0:c r="M16" s="105"/>
      <ns0:c r="N16" s="106"/>
      <ns0:c r="O16" s="111" t="str">
        <ns0:f t="shared" ref="O16:O39" si="2">IF(COUNTA(B16:H16,J16:N16)=0,"",IF(OR(NOT(ISNUMBER(B16)),C16="",D16="",E16="",NOT(ISNUMBER(G16)),J16=""),"Completar datos",IF(AND(F16&lt;&gt;"MXN",F16&lt;&gt;"USD"),"Revisar moneda",IF(AND(F16="USD",OR(NOT(ISNUMBER(H16)),H16&lt;=0)),"Falta cambio","Listo"))))</ns0:f>
      </ns0:c>
      <ns0:c r="P16" s="54"/>
      <ns0:c r="Q16" s="129" t="str">
        <ns0:v>Servicios profesionales</ns0:v>
      </ns0:c>
      <ns0:c r="R16"/>
      <ns0:c r="S16"/>
      <ns0:c r="T16"/>
    </ns0:row>
    <ns0:row r="17" ht="23" customHeight="1">
      <ns0:c r="B17" s="112"/>
      <ns0:c r="C17" s="105"/>
      <ns0:c r="D17" s="106"/>
      <ns0:c r="E17" s="105"/>
      <ns0:c r="F17" s="107"/>
      <ns0:c r="G17" s="114"/>
      <ns0:c r="H17" s="119"/>
      <ns0:c r="I17" s="116" t="str">
        <ns0:f>IF(G17="","",IF(F17="MXN",G17,IF(AND(F17="USD",ISNUMBER(H17),H17&gt;0),ROUND(G17*H17,2),"Falta cambio")))</ns0:f>
      </ns0:c>
      <ns0:c r="J17" s="106"/>
      <ns0:c r="K17" s="105"/>
      <ns0:c r="L17" s="105"/>
      <ns0:c r="M17" s="105"/>
      <ns0:c r="N17" s="106"/>
      <ns0:c r="O17" s="111" t="str">
        <ns0:f t="shared" si="2">IF(COUNTA(B17:H17,J17:N17)=0,"",IF(OR(NOT(ISNUMBER(B17)),C17="",D17="",E17="",NOT(ISNUMBER(G17)),J17=""),"Completar datos",IF(AND(F17&lt;&gt;"MXN",F17&lt;&gt;"USD"),"Revisar moneda",IF(AND(F17="USD",OR(NOT(ISNUMBER(H17)),H17&lt;=0)),"Falta cambio","Listo"))))</ns0:f>
      </ns0:c>
      <ns0:c r="P17" s="54"/>
      <ns0:c r="Q17" s="129" t="str">
        <ns0:v>Equipo y materiales</ns0:v>
      </ns0:c>
      <ns0:c r="R17"/>
      <ns0:c r="S17"/>
      <ns0:c r="T17"/>
    </ns0:row>
    <ns0:row r="18" ht="23" customHeight="1">
      <ns0:c r="B18" s="112"/>
      <ns0:c r="C18" s="105"/>
      <ns0:c r="D18" s="106"/>
      <ns0:c r="E18" s="105"/>
      <ns0:c r="F18" s="107"/>
      <ns0:c r="G18" s="114"/>
      <ns0:c r="H18" s="119"/>
      <ns0:c r="I18" s="116" t="str">
        <ns0:f>IF(G18="","",IF(F18="MXN",G18,IF(AND(F18="USD",ISNUMBER(H18),H18&gt;0),ROUND(G18*H18,2),"Falta cambio")))</ns0:f>
      </ns0:c>
      <ns0:c r="J18" s="106"/>
      <ns0:c r="K18" s="105"/>
      <ns0:c r="L18" s="105"/>
      <ns0:c r="M18" s="105"/>
      <ns0:c r="N18" s="106"/>
      <ns0:c r="O18" s="111" t="str">
        <ns0:f t="shared" si="2">IF(COUNTA(B18:H18,J18:N18)=0,"",IF(OR(NOT(ISNUMBER(B18)),C18="",D18="",E18="",NOT(ISNUMBER(G18)),J18=""),"Completar datos",IF(AND(F18&lt;&gt;"MXN",F18&lt;&gt;"USD"),"Revisar moneda",IF(AND(F18="USD",OR(NOT(ISNUMBER(H18)),H18&lt;=0)),"Falta cambio","Listo"))))</ns0:f>
      </ns0:c>
      <ns0:c r="P18" s="54"/>
      <ns0:c r="Q18" s="129" t="str">
        <ns0:v>Formación</ns0:v>
      </ns0:c>
      <ns0:c r="R18"/>
      <ns0:c r="S18"/>
      <ns0:c r="T18"/>
    </ns0:row>
    <ns0:row r="19" ht="23" customHeight="1">
      <ns0:c r="B19" s="112"/>
      <ns0:c r="C19" s="105"/>
      <ns0:c r="D19" s="106"/>
      <ns0:c r="E19" s="105"/>
      <ns0:c r="F19" s="107"/>
      <ns0:c r="G19" s="114"/>
      <ns0:c r="H19" s="119"/>
      <ns0:c r="I19" s="116" t="str">
        <ns0:f>IF(G19="","",IF(F19="MXN",G19,IF(AND(F19="USD",ISNUMBER(H19),H19&gt;0),ROUND(G19*H19,2),"Falta cambio")))</ns0:f>
      </ns0:c>
      <ns0:c r="J19" s="106"/>
      <ns0:c r="K19" s="105"/>
      <ns0:c r="L19" s="105"/>
      <ns0:c r="M19" s="105"/>
      <ns0:c r="N19" s="106"/>
      <ns0:c r="O19" s="111" t="str">
        <ns0:f t="shared" si="2">IF(COUNTA(B19:H19,J19:N19)=0,"",IF(OR(NOT(ISNUMBER(B19)),C19="",D19="",E19="",NOT(ISNUMBER(G19)),J19=""),"Completar datos",IF(AND(F19&lt;&gt;"MXN",F19&lt;&gt;"USD"),"Revisar moneda",IF(AND(F19="USD",OR(NOT(ISNUMBER(H19)),H19&lt;=0)),"Falta cambio","Listo"))))</ns0:f>
      </ns0:c>
      <ns0:c r="P19" s="54"/>
      <ns0:c r="Q19" s="130" t="str">
        <ns0:v>Transporte</ns0:v>
      </ns0:c>
      <ns0:c r="R19"/>
      <ns0:c r="S19"/>
      <ns0:c r="T19"/>
    </ns0:row>
    <ns0:row r="20" ht="23" customHeight="1">
      <ns0:c r="B20" s="112"/>
      <ns0:c r="C20" s="105"/>
      <ns0:c r="D20" s="106"/>
      <ns0:c r="E20" s="105"/>
      <ns0:c r="F20" s="107"/>
      <ns0:c r="G20" s="114"/>
      <ns0:c r="H20" s="119"/>
      <ns0:c r="I20" s="116" t="str">
        <ns0:f>IF(G20="","",IF(F20="MXN",G20,IF(AND(F20="USD",ISNUMBER(H20),H20&gt;0),ROUND(G20*H20,2),"Falta cambio")))</ns0:f>
      </ns0:c>
      <ns0:c r="J20" s="106"/>
      <ns0:c r="K20" s="105"/>
      <ns0:c r="L20" s="105"/>
      <ns0:c r="M20" s="105"/>
      <ns0:c r="N20" s="106"/>
      <ns0:c r="O20" s="111" t="str">
        <ns0:f t="shared" si="2">IF(COUNTA(B20:H20,J20:N20)=0,"",IF(OR(NOT(ISNUMBER(B20)),C20="",D20="",E20="",NOT(ISNUMBER(G20)),J20=""),"Completar datos",IF(AND(F20&lt;&gt;"MXN",F20&lt;&gt;"USD"),"Revisar moneda",IF(AND(F20="USD",OR(NOT(ISNUMBER(H20)),H20&lt;=0)),"Falta cambio","Listo"))))</ns0:f>
      </ns0:c>
      <ns0:c r="P20" s="54"/>
      <ns0:c r="Q20" s="131" t="str">
        <ns0:v>Operación</ns0:v>
      </ns0:c>
      <ns0:c r="R20"/>
      <ns0:c r="S20"/>
      <ns0:c r="T20"/>
    </ns0:row>
    <ns0:row r="21" ht="23" customHeight="1">
      <ns0:c r="B21" s="112"/>
      <ns0:c r="C21" s="105"/>
      <ns0:c r="D21" s="106"/>
      <ns0:c r="E21" s="105"/>
      <ns0:c r="F21" s="107"/>
      <ns0:c r="G21" s="114"/>
      <ns0:c r="H21" s="119"/>
      <ns0:c r="I21" s="116" t="str">
        <ns0:f>IF(G21="","",IF(F21="MXN",G21,IF(AND(F21="USD",ISNUMBER(H21),H21&gt;0),ROUND(G21*H21,2),"Falta cambio")))</ns0:f>
      </ns0:c>
      <ns0:c r="J21" s="106"/>
      <ns0:c r="K21" s="105"/>
      <ns0:c r="L21" s="105"/>
      <ns0:c r="M21" s="105"/>
      <ns0:c r="N21" s="106"/>
      <ns0:c r="O21" s="111" t="str">
        <ns0:f t="shared" si="2">IF(COUNTA(B21:H21,J21:N21)=0,"",IF(OR(NOT(ISNUMBER(B21)),C21="",D21="",E21="",NOT(ISNUMBER(G21)),J21=""),"Completar datos",IF(AND(F21&lt;&gt;"MXN",F21&lt;&gt;"USD"),"Revisar moneda",IF(AND(F21="USD",OR(NOT(ISNUMBER(H21)),H21&lt;=0)),"Falta cambio","Listo"))))</ns0:f>
      </ns0:c>
      <ns0:c r="P21" s="54"/>
      <ns0:c r="Q21" s="132" t="str">
        <ns0:v>Aportaciones a MICE-LO</ns0:v>
      </ns0:c>
      <ns0:c r="R21"/>
      <ns0:c r="S21"/>
      <ns0:c r="T21"/>
    </ns0:row>
    <ns0:row r="22" ht="23" customHeight="1">
      <ns0:c r="B22" s="112"/>
      <ns0:c r="C22" s="105"/>
      <ns0:c r="D22" s="106"/>
      <ns0:c r="E22" s="105"/>
      <ns0:c r="F22" s="107"/>
      <ns0:c r="G22" s="114"/>
      <ns0:c r="H22" s="119"/>
      <ns0:c r="I22" s="116" t="str">
        <ns0:f>IF(G22="","",IF(F22="MXN",G22,IF(AND(F22="USD",ISNUMBER(H22),H22&gt;0),ROUND(G22*H22,2),"Falta cambio")))</ns0:f>
      </ns0:c>
      <ns0:c r="J22" s="106"/>
      <ns0:c r="K22" s="105"/>
      <ns0:c r="L22" s="105"/>
      <ns0:c r="M22" s="105"/>
      <ns0:c r="N22" s="106"/>
      <ns0:c r="O22" s="111" t="str">
        <ns0:f t="shared" si="2">IF(COUNTA(B22:H22,J22:N22)=0,"",IF(OR(NOT(ISNUMBER(B22)),C22="",D22="",E22="",NOT(ISNUMBER(G22)),J22=""),"Completar datos",IF(AND(F22&lt;&gt;"MXN",F22&lt;&gt;"USD"),"Revisar moneda",IF(AND(F22="USD",OR(NOT(ISNUMBER(H22)),H22&lt;=0)),"Falta cambio","Listo"))))</ns0:f>
      </ns0:c>
      <ns0:c r="P22" s="54"/>
      <ns0:c r="Q22" s="132" t="str">
        <ns0:v>Otros</ns0:v>
      </ns0:c>
      <ns0:c r="R22"/>
      <ns0:c r="S22"/>
      <ns0:c r="T22"/>
    </ns0:row>
    <ns0:row r="23" ht="23" customHeight="1">
      <ns0:c r="B23" s="112"/>
      <ns0:c r="C23" s="105"/>
      <ns0:c r="D23" s="106"/>
      <ns0:c r="E23" s="105"/>
      <ns0:c r="F23" s="107"/>
      <ns0:c r="G23" s="114"/>
      <ns0:c r="H23" s="119"/>
      <ns0:c r="I23" s="116" t="str">
        <ns0:f>IF(G23="","",IF(F23="MXN",G23,IF(AND(F23="USD",ISNUMBER(H23),H23&gt;0),ROUND(G23*H23,2),"Falta cambio")))</ns0:f>
      </ns0:c>
      <ns0:c r="J23" s="106"/>
      <ns0:c r="K23" s="105"/>
      <ns0:c r="L23" s="105"/>
      <ns0:c r="M23" s="105"/>
      <ns0:c r="N23" s="106"/>
      <ns0:c r="O23" s="111" t="str">
        <ns0:f t="shared" si="2">IF(COUNTA(B23:H23,J23:N23)=0,"",IF(OR(NOT(ISNUMBER(B23)),C23="",D23="",E23="",NOT(ISNUMBER(G23)),J23=""),"Completar datos",IF(AND(F23&lt;&gt;"MXN",F23&lt;&gt;"USD"),"Revisar moneda",IF(AND(F23="USD",OR(NOT(ISNUMBER(H23)),H23&lt;=0)),"Falta cambio","Listo"))))</ns0:f>
      </ns0:c>
      <ns0:c r="P23" s="54"/>
      <ns0:c r="Q23" s="58"/>
      <ns0:c r="R23" s="59"/>
      <ns0:c r="S23" s="75"/>
      <ns0:c r="T23" s="56"/>
    </ns0:row>
    <ns0:row r="24" ht="23" customHeight="1">
      <ns0:c r="B24" s="112"/>
      <ns0:c r="C24" s="105"/>
      <ns0:c r="D24" s="106"/>
      <ns0:c r="E24" s="105"/>
      <ns0:c r="F24" s="107"/>
      <ns0:c r="G24" s="114"/>
      <ns0:c r="H24" s="119"/>
      <ns0:c r="I24" s="116" t="str">
        <ns0:f>IF(G24="","",IF(F24="MXN",G24,IF(AND(F24="USD",ISNUMBER(H24),H24&gt;0),ROUND(G24*H24,2),"Falta cambio")))</ns0:f>
      </ns0:c>
      <ns0:c r="J24" s="106"/>
      <ns0:c r="K24" s="105"/>
      <ns0:c r="L24" s="105"/>
      <ns0:c r="M24" s="105"/>
      <ns0:c r="N24" s="106"/>
      <ns0:c r="O24" s="111" t="str">
        <ns0:f t="shared" si="2">IF(COUNTA(B24:H24,J24:N24)=0,"",IF(OR(NOT(ISNUMBER(B24)),C24="",D24="",E24="",NOT(ISNUMBER(G24)),J24=""),"Completar datos",IF(AND(F24&lt;&gt;"MXN",F24&lt;&gt;"USD"),"Revisar moneda",IF(AND(F24="USD",OR(NOT(ISNUMBER(H24)),H24&lt;=0)),"Falta cambio","Listo"))))</ns0:f>
      </ns0:c>
      <ns0:c r="P24" s="54"/>
      <ns0:c r="Q24" s="142" t="str">
        <ns0:v>Resumen mensual</ns0:v>
      </ns0:c>
      <ns0:c r="R24" s="142"/>
      <ns0:c r="S24" s="142"/>
      <ns0:c r="T24" s="143"/>
    </ns0:row>
    <ns0:row r="25" ht="30" customHeight="1">
      <ns0:c r="B25" s="112"/>
      <ns0:c r="C25" s="105"/>
      <ns0:c r="D25" s="106"/>
      <ns0:c r="E25" s="105"/>
      <ns0:c r="F25" s="107"/>
      <ns0:c r="G25" s="114"/>
      <ns0:c r="H25" s="119"/>
      <ns0:c r="I25" s="116" t="str">
        <ns0:f>IF(G25="","",IF(F25="MXN",G25,IF(AND(F25="USD",ISNUMBER(H25),H25&gt;0),ROUND(G25*H25,2),"Falta cambio")))</ns0:f>
      </ns0:c>
      <ns0:c r="J25" s="106"/>
      <ns0:c r="K25" s="105"/>
      <ns0:c r="L25" s="105"/>
      <ns0:c r="M25" s="105"/>
      <ns0:c r="N25" s="106"/>
      <ns0:c r="O25" s="111" t="str">
        <ns0:f t="shared" si="2">IF(COUNTA(B25:H25,J25:N25)=0,"",IF(OR(NOT(ISNUMBER(B25)),C25="",D25="",E25="",NOT(ISNUMBER(G25)),J25=""),"Completar datos",IF(AND(F25&lt;&gt;"MXN",F25&lt;&gt;"USD"),"Revisar moneda",IF(AND(F25="USD",OR(NOT(ISNUMBER(H25)),H25&lt;=0)),"Falta cambio","Listo"))))</ns0:f>
      </ns0:c>
      <ns0:c r="P25" s="54"/>
      <ns0:c r="Q25" s="147" t="str">
        <ns0:v>Mes</ns0:v>
      </ns0:c>
      <ns0:c r="R25" s="147" t="str">
        <ns0:v>Original MXN</ns0:v>
      </ns0:c>
      <ns0:c r="S25" s="147" t="str">
        <ns0:v>Original USD</ns0:v>
      </ns0:c>
      <ns0:c r="T25" s="147" t="str">
        <ns0:v>Convertido MXN</ns0:v>
      </ns0:c>
    </ns0:row>
    <ns0:row r="26" ht="24" customHeight="1">
      <ns0:c r="B26" s="112"/>
      <ns0:c r="C26" s="105"/>
      <ns0:c r="D26" s="106"/>
      <ns0:c r="E26" s="105"/>
      <ns0:c r="F26" s="107"/>
      <ns0:c r="G26" s="114"/>
      <ns0:c r="H26" s="119"/>
      <ns0:c r="I26" s="116" t="str">
        <ns0:f>IF(G26="","",IF(F26="MXN",G26,IF(AND(F26="USD",ISNUMBER(H26),H26&gt;0),ROUND(G26*H26,2),"Falta cambio")))</ns0:f>
      </ns0:c>
      <ns0:c r="J26" s="106"/>
      <ns0:c r="K26" s="105"/>
      <ns0:c r="L26" s="105"/>
      <ns0:c r="M26" s="105"/>
      <ns0:c r="N26" s="106"/>
      <ns0:c r="O26" s="111" t="str">
        <ns0:f t="shared" si="2">IF(COUNTA(B26:H26,J26:N26)=0,"",IF(OR(NOT(ISNUMBER(B26)),C26="",D26="",E26="",NOT(ISNUMBER(G26)),J26=""),"Completar datos",IF(AND(F26&lt;&gt;"MXN",F26&lt;&gt;"USD"),"Revisar moneda",IF(AND(F26="USD",OR(NOT(ISNUMBER(H26)),H26&lt;=0)),"Falta cambio","Listo"))))</ns0:f>
      </ns0:c>
      <ns0:c r="P26" s="54"/>
      <ns0:c r="Q26" s="144" t="n">
        <ns0:f>DATE($S$4,1,1)</ns0:f>
        <ns0:v>46023</ns0:v>
      </ns0:c>
      <ns0:c r="R26" s="145" t="n">
        <ns0:f>SUMIFS($G$16:$G$115,$F$16:$F$115,"MXN",$B$16:$B$115,"&gt;="&amp;Q26,$B$16:$B$115,"&lt;"&amp;DATE(YEAR(Q26),MONTH(Q26)+1,1))</ns0:f>
        <ns0:v>0</ns0:v>
      </ns0:c>
      <ns0:c r="S26" s="145" t="n">
        <ns0:f>SUMIFS($G$16:$G$115,$F$16:$F$115,"USD",$B$16:$B$115,"&gt;="&amp;Q26,$B$16:$B$115,"&lt;"&amp;DATE(YEAR(Q26),MONTH(Q26)+1,1))</ns0:f>
        <ns0:v>0</ns0:v>
      </ns0:c>
      <ns0:c r="T26" s="145" t="n">
        <ns0:f>IF(COUNTIFS($O$16:$O$115,"Falta cambio",$B$16:$B$115,"&gt;="&amp;Q26,$B$16:$B$115,"&lt;"&amp;DATE(YEAR(Q26),MONTH(Q26)+1,1))&gt;0,"Falta cambio",SUMIFS($I$16:$I$115,$B$16:$B$115,"&gt;="&amp;Q26,$B$16:$B$115,"&lt;"&amp;DATE(YEAR(Q26),MONTH(Q26)+1,1)))</ns0:f>
        <ns0:v>0</ns0:v>
      </ns0:c>
    </ns0:row>
    <ns0:row r="27" ht="24" customHeight="1">
      <ns0:c r="B27" s="112"/>
      <ns0:c r="C27" s="105"/>
      <ns0:c r="D27" s="106"/>
      <ns0:c r="E27" s="105"/>
      <ns0:c r="F27" s="107"/>
      <ns0:c r="G27" s="114"/>
      <ns0:c r="H27" s="119"/>
      <ns0:c r="I27" s="116" t="str">
        <ns0:f>IF(G27="","",IF(F27="MXN",G27,IF(AND(F27="USD",ISNUMBER(H27),H27&gt;0),ROUND(G27*H27,2),"Falta cambio")))</ns0:f>
      </ns0:c>
      <ns0:c r="J27" s="106"/>
      <ns0:c r="K27" s="105"/>
      <ns0:c r="L27" s="105"/>
      <ns0:c r="M27" s="105"/>
      <ns0:c r="N27" s="106"/>
      <ns0:c r="O27" s="111" t="str">
        <ns0:f t="shared" si="2">IF(COUNTA(B27:H27,J27:N27)=0,"",IF(OR(NOT(ISNUMBER(B27)),C27="",D27="",E27="",NOT(ISNUMBER(G27)),J27=""),"Completar datos",IF(AND(F27&lt;&gt;"MXN",F27&lt;&gt;"USD"),"Revisar moneda",IF(AND(F27="USD",OR(NOT(ISNUMBER(H27)),H27&lt;=0)),"Falta cambio","Listo"))))</ns0:f>
      </ns0:c>
      <ns0:c r="P27" s="54"/>
      <ns0:c r="Q27" s="144" t="n">
        <ns0:f>DATE($S$4,2,1)</ns0:f>
        <ns0:v>46054</ns0:v>
      </ns0:c>
      <ns0:c r="R27" s="145" t="n">
        <ns0:f>SUMIFS($G$16:$G$115,$F$16:$F$115,"MXN",$B$16:$B$115,"&gt;="&amp;Q27,$B$16:$B$115,"&lt;"&amp;DATE(YEAR(Q27),MONTH(Q27)+1,1))</ns0:f>
        <ns0:v>0</ns0:v>
      </ns0:c>
      <ns0:c r="S27" s="145" t="n">
        <ns0:f>SUMIFS($G$16:$G$115,$F$16:$F$115,"USD",$B$16:$B$115,"&gt;="&amp;Q27,$B$16:$B$115,"&lt;"&amp;DATE(YEAR(Q27),MONTH(Q27)+1,1))</ns0:f>
        <ns0:v>0</ns0:v>
      </ns0:c>
      <ns0:c r="T27" s="145" t="n">
        <ns0:f>IF(COUNTIFS($O$16:$O$115,"Falta cambio",$B$16:$B$115,"&gt;="&amp;Q27,$B$16:$B$115,"&lt;"&amp;DATE(YEAR(Q27),MONTH(Q27)+1,1))&gt;0,"Falta cambio",SUMIFS($I$16:$I$115,$B$16:$B$115,"&gt;="&amp;Q27,$B$16:$B$115,"&lt;"&amp;DATE(YEAR(Q27),MONTH(Q27)+1,1)))</ns0:f>
        <ns0:v>0</ns0:v>
      </ns0:c>
    </ns0:row>
    <ns0:row r="28" ht="24" customHeight="1">
      <ns0:c r="B28" s="112"/>
      <ns0:c r="C28" s="105"/>
      <ns0:c r="D28" s="106"/>
      <ns0:c r="E28" s="105"/>
      <ns0:c r="F28" s="107"/>
      <ns0:c r="G28" s="114"/>
      <ns0:c r="H28" s="119"/>
      <ns0:c r="I28" s="116" t="str">
        <ns0:f>IF(G28="","",IF(F28="MXN",G28,IF(AND(F28="USD",ISNUMBER(H28),H28&gt;0),ROUND(G28*H28,2),"Falta cambio")))</ns0:f>
      </ns0:c>
      <ns0:c r="J28" s="106"/>
      <ns0:c r="K28" s="105"/>
      <ns0:c r="L28" s="105"/>
      <ns0:c r="M28" s="105"/>
      <ns0:c r="N28" s="106"/>
      <ns0:c r="O28" s="111" t="str">
        <ns0:f t="shared" si="2">IF(COUNTA(B28:H28,J28:N28)=0,"",IF(OR(NOT(ISNUMBER(B28)),C28="",D28="",E28="",NOT(ISNUMBER(G28)),J28=""),"Completar datos",IF(AND(F28&lt;&gt;"MXN",F28&lt;&gt;"USD"),"Revisar moneda",IF(AND(F28="USD",OR(NOT(ISNUMBER(H28)),H28&lt;=0)),"Falta cambio","Listo"))))</ns0:f>
      </ns0:c>
      <ns0:c r="P28" s="54"/>
      <ns0:c r="Q28" s="144" t="n">
        <ns0:f>DATE($S$4,3,1)</ns0:f>
        <ns0:v>46082</ns0:v>
      </ns0:c>
      <ns0:c r="R28" s="145" t="n">
        <ns0:f>SUMIFS($G$16:$G$115,$F$16:$F$115,"MXN",$B$16:$B$115,"&gt;="&amp;Q28,$B$16:$B$115,"&lt;"&amp;DATE(YEAR(Q28),MONTH(Q28)+1,1))</ns0:f>
        <ns0:v>0</ns0:v>
      </ns0:c>
      <ns0:c r="S28" s="145" t="n">
        <ns0:f>SUMIFS($G$16:$G$115,$F$16:$F$115,"USD",$B$16:$B$115,"&gt;="&amp;Q28,$B$16:$B$115,"&lt;"&amp;DATE(YEAR(Q28),MONTH(Q28)+1,1))</ns0:f>
        <ns0:v>0</ns0:v>
      </ns0:c>
      <ns0:c r="T28" s="145" t="n">
        <ns0:f>IF(COUNTIFS($O$16:$O$115,"Falta cambio",$B$16:$B$115,"&gt;="&amp;Q28,$B$16:$B$115,"&lt;"&amp;DATE(YEAR(Q28),MONTH(Q28)+1,1))&gt;0,"Falta cambio",SUMIFS($I$16:$I$115,$B$16:$B$115,"&gt;="&amp;Q28,$B$16:$B$115,"&lt;"&amp;DATE(YEAR(Q28),MONTH(Q28)+1,1)))</ns0:f>
        <ns0:v>0</ns0:v>
      </ns0:c>
    </ns0:row>
    <ns0:row r="29" ht="24" customHeight="1">
      <ns0:c r="B29" s="112"/>
      <ns0:c r="C29" s="105"/>
      <ns0:c r="D29" s="106"/>
      <ns0:c r="E29" s="105"/>
      <ns0:c r="F29" s="107"/>
      <ns0:c r="G29" s="114"/>
      <ns0:c r="H29" s="119"/>
      <ns0:c r="I29" s="116" t="str">
        <ns0:f>IF(G29="","",IF(F29="MXN",G29,IF(AND(F29="USD",ISNUMBER(H29),H29&gt;0),ROUND(G29*H29,2),"Falta cambio")))</ns0:f>
      </ns0:c>
      <ns0:c r="J29" s="106"/>
      <ns0:c r="K29" s="105"/>
      <ns0:c r="L29" s="105"/>
      <ns0:c r="M29" s="105"/>
      <ns0:c r="N29" s="106"/>
      <ns0:c r="O29" s="111" t="str">
        <ns0:f t="shared" si="2">IF(COUNTA(B29:H29,J29:N29)=0,"",IF(OR(NOT(ISNUMBER(B29)),C29="",D29="",E29="",NOT(ISNUMBER(G29)),J29=""),"Completar datos",IF(AND(F29&lt;&gt;"MXN",F29&lt;&gt;"USD"),"Revisar moneda",IF(AND(F29="USD",OR(NOT(ISNUMBER(H29)),H29&lt;=0)),"Falta cambio","Listo"))))</ns0:f>
      </ns0:c>
      <ns0:c r="P29" s="54"/>
      <ns0:c r="Q29" s="144" t="n">
        <ns0:f>DATE($S$4,4,1)</ns0:f>
        <ns0:v>46113</ns0:v>
      </ns0:c>
      <ns0:c r="R29" s="145" t="n">
        <ns0:f>SUMIFS($G$16:$G$115,$F$16:$F$115,"MXN",$B$16:$B$115,"&gt;="&amp;Q29,$B$16:$B$115,"&lt;"&amp;DATE(YEAR(Q29),MONTH(Q29)+1,1))</ns0:f>
        <ns0:v>0</ns0:v>
      </ns0:c>
      <ns0:c r="S29" s="145" t="n">
        <ns0:f>SUMIFS($G$16:$G$115,$F$16:$F$115,"USD",$B$16:$B$115,"&gt;="&amp;Q29,$B$16:$B$115,"&lt;"&amp;DATE(YEAR(Q29),MONTH(Q29)+1,1))</ns0:f>
        <ns0:v>0</ns0:v>
      </ns0:c>
      <ns0:c r="T29" s="145" t="n">
        <ns0:f>IF(COUNTIFS($O$16:$O$115,"Falta cambio",$B$16:$B$115,"&gt;="&amp;Q29,$B$16:$B$115,"&lt;"&amp;DATE(YEAR(Q29),MONTH(Q29)+1,1))&gt;0,"Falta cambio",SUMIFS($I$16:$I$115,$B$16:$B$115,"&gt;="&amp;Q29,$B$16:$B$115,"&lt;"&amp;DATE(YEAR(Q29),MONTH(Q29)+1,1)))</ns0:f>
        <ns0:v>0</ns0:v>
      </ns0:c>
    </ns0:row>
    <ns0:row r="30" ht="24" customHeight="1">
      <ns0:c r="B30" s="112"/>
      <ns0:c r="C30" s="105"/>
      <ns0:c r="D30" s="106"/>
      <ns0:c r="E30" s="105"/>
      <ns0:c r="F30" s="107"/>
      <ns0:c r="G30" s="114"/>
      <ns0:c r="H30" s="119"/>
      <ns0:c r="I30" s="116" t="str">
        <ns0:f>IF(G30="","",IF(F30="MXN",G30,IF(AND(F30="USD",ISNUMBER(H30),H30&gt;0),ROUND(G30*H30,2),"Falta cambio")))</ns0:f>
      </ns0:c>
      <ns0:c r="J30" s="106"/>
      <ns0:c r="K30" s="105"/>
      <ns0:c r="L30" s="105"/>
      <ns0:c r="M30" s="105"/>
      <ns0:c r="N30" s="106"/>
      <ns0:c r="O30" s="111" t="str">
        <ns0:f t="shared" si="2">IF(COUNTA(B30:H30,J30:N30)=0,"",IF(OR(NOT(ISNUMBER(B30)),C30="",D30="",E30="",NOT(ISNUMBER(G30)),J30=""),"Completar datos",IF(AND(F30&lt;&gt;"MXN",F30&lt;&gt;"USD"),"Revisar moneda",IF(AND(F30="USD",OR(NOT(ISNUMBER(H30)),H30&lt;=0)),"Falta cambio","Listo"))))</ns0:f>
      </ns0:c>
      <ns0:c r="P30" s="54"/>
      <ns0:c r="Q30" s="144" t="n">
        <ns0:f>DATE($S$4,5,1)</ns0:f>
        <ns0:v>46143</ns0:v>
      </ns0:c>
      <ns0:c r="R30" s="145" t="n">
        <ns0:f>SUMIFS($G$16:$G$115,$F$16:$F$115,"MXN",$B$16:$B$115,"&gt;="&amp;Q30,$B$16:$B$115,"&lt;"&amp;DATE(YEAR(Q30),MONTH(Q30)+1,1))</ns0:f>
        <ns0:v>0</ns0:v>
      </ns0:c>
      <ns0:c r="S30" s="145" t="n">
        <ns0:f>SUMIFS($G$16:$G$115,$F$16:$F$115,"USD",$B$16:$B$115,"&gt;="&amp;Q30,$B$16:$B$115,"&lt;"&amp;DATE(YEAR(Q30),MONTH(Q30)+1,1))</ns0:f>
        <ns0:v>0</ns0:v>
      </ns0:c>
      <ns0:c r="T30" s="145" t="n">
        <ns0:f>IF(COUNTIFS($O$16:$O$115,"Falta cambio",$B$16:$B$115,"&gt;="&amp;Q30,$B$16:$B$115,"&lt;"&amp;DATE(YEAR(Q30),MONTH(Q30)+1,1))&gt;0,"Falta cambio",SUMIFS($I$16:$I$115,$B$16:$B$115,"&gt;="&amp;Q30,$B$16:$B$115,"&lt;"&amp;DATE(YEAR(Q30),MONTH(Q30)+1,1)))</ns0:f>
        <ns0:v>0</ns0:v>
      </ns0:c>
    </ns0:row>
    <ns0:row r="31" ht="24" customHeight="1">
      <ns0:c r="B31" s="112"/>
      <ns0:c r="C31" s="105"/>
      <ns0:c r="D31" s="106"/>
      <ns0:c r="E31" s="105"/>
      <ns0:c r="F31" s="107"/>
      <ns0:c r="G31" s="114"/>
      <ns0:c r="H31" s="119"/>
      <ns0:c r="I31" s="116" t="str">
        <ns0:f>IF(G31="","",IF(F31="MXN",G31,IF(AND(F31="USD",ISNUMBER(H31),H31&gt;0),ROUND(G31*H31,2),"Falta cambio")))</ns0:f>
      </ns0:c>
      <ns0:c r="J31" s="106"/>
      <ns0:c r="K31" s="105"/>
      <ns0:c r="L31" s="105"/>
      <ns0:c r="M31" s="105"/>
      <ns0:c r="N31" s="106"/>
      <ns0:c r="O31" s="111" t="str">
        <ns0:f t="shared" si="2">IF(COUNTA(B31:H31,J31:N31)=0,"",IF(OR(NOT(ISNUMBER(B31)),C31="",D31="",E31="",NOT(ISNUMBER(G31)),J31=""),"Completar datos",IF(AND(F31&lt;&gt;"MXN",F31&lt;&gt;"USD"),"Revisar moneda",IF(AND(F31="USD",OR(NOT(ISNUMBER(H31)),H31&lt;=0)),"Falta cambio","Listo"))))</ns0:f>
      </ns0:c>
      <ns0:c r="P31" s="54"/>
      <ns0:c r="Q31" s="144" t="n">
        <ns0:f>DATE($S$4,6,1)</ns0:f>
        <ns0:v>46174</ns0:v>
      </ns0:c>
      <ns0:c r="R31" s="145" t="n">
        <ns0:f>SUMIFS($G$16:$G$115,$F$16:$F$115,"MXN",$B$16:$B$115,"&gt;="&amp;Q31,$B$16:$B$115,"&lt;"&amp;DATE(YEAR(Q31),MONTH(Q31)+1,1))</ns0:f>
        <ns0:v>0</ns0:v>
      </ns0:c>
      <ns0:c r="S31" s="145" t="n">
        <ns0:f>SUMIFS($G$16:$G$115,$F$16:$F$115,"USD",$B$16:$B$115,"&gt;="&amp;Q31,$B$16:$B$115,"&lt;"&amp;DATE(YEAR(Q31),MONTH(Q31)+1,1))</ns0:f>
        <ns0:v>0</ns0:v>
      </ns0:c>
      <ns0:c r="T31" s="145" t="n">
        <ns0:f>IF(COUNTIFS($O$16:$O$115,"Falta cambio",$B$16:$B$115,"&gt;="&amp;Q31,$B$16:$B$115,"&lt;"&amp;DATE(YEAR(Q31),MONTH(Q31)+1,1))&gt;0,"Falta cambio",SUMIFS($I$16:$I$115,$B$16:$B$115,"&gt;="&amp;Q31,$B$16:$B$115,"&lt;"&amp;DATE(YEAR(Q31),MONTH(Q31)+1,1)))</ns0:f>
        <ns0:v>0</ns0:v>
      </ns0:c>
    </ns0:row>
    <ns0:row r="32" ht="24" customHeight="1">
      <ns0:c r="B32" s="112"/>
      <ns0:c r="C32" s="105"/>
      <ns0:c r="D32" s="106"/>
      <ns0:c r="E32" s="105"/>
      <ns0:c r="F32" s="107"/>
      <ns0:c r="G32" s="114"/>
      <ns0:c r="H32" s="119"/>
      <ns0:c r="I32" s="116" t="str">
        <ns0:f>IF(G32="","",IF(F32="MXN",G32,IF(AND(F32="USD",ISNUMBER(H32),H32&gt;0),ROUND(G32*H32,2),"Falta cambio")))</ns0:f>
      </ns0:c>
      <ns0:c r="J32" s="106"/>
      <ns0:c r="K32" s="105"/>
      <ns0:c r="L32" s="105"/>
      <ns0:c r="M32" s="105"/>
      <ns0:c r="N32" s="106"/>
      <ns0:c r="O32" s="111" t="str">
        <ns0:f t="shared" si="2">IF(COUNTA(B32:H32,J32:N32)=0,"",IF(OR(NOT(ISNUMBER(B32)),C32="",D32="",E32="",NOT(ISNUMBER(G32)),J32=""),"Completar datos",IF(AND(F32&lt;&gt;"MXN",F32&lt;&gt;"USD"),"Revisar moneda",IF(AND(F32="USD",OR(NOT(ISNUMBER(H32)),H32&lt;=0)),"Falta cambio","Listo"))))</ns0:f>
      </ns0:c>
      <ns0:c r="P32" s="54"/>
      <ns0:c r="Q32" s="144" t="n">
        <ns0:f>DATE($S$4,7,1)</ns0:f>
        <ns0:v>46204</ns0:v>
      </ns0:c>
      <ns0:c r="R32" s="145" t="n">
        <ns0:f>SUMIFS($G$16:$G$115,$F$16:$F$115,"MXN",$B$16:$B$115,"&gt;="&amp;Q32,$B$16:$B$115,"&lt;"&amp;DATE(YEAR(Q32),MONTH(Q32)+1,1))</ns0:f>
        <ns0:v>0</ns0:v>
      </ns0:c>
      <ns0:c r="S32" s="145" t="n">
        <ns0:f>SUMIFS($G$16:$G$115,$F$16:$F$115,"USD",$B$16:$B$115,"&gt;="&amp;Q32,$B$16:$B$115,"&lt;"&amp;DATE(YEAR(Q32),MONTH(Q32)+1,1))</ns0:f>
        <ns0:v>0</ns0:v>
      </ns0:c>
      <ns0:c r="T32" s="145" t="n">
        <ns0:f>IF(COUNTIFS($O$16:$O$115,"Falta cambio",$B$16:$B$115,"&gt;="&amp;Q32,$B$16:$B$115,"&lt;"&amp;DATE(YEAR(Q32),MONTH(Q32)+1,1))&gt;0,"Falta cambio",SUMIFS($I$16:$I$115,$B$16:$B$115,"&gt;="&amp;Q32,$B$16:$B$115,"&lt;"&amp;DATE(YEAR(Q32),MONTH(Q32)+1,1)))</ns0:f>
        <ns0:v>0</ns0:v>
      </ns0:c>
    </ns0:row>
    <ns0:row r="33" ht="24" customHeight="1">
      <ns0:c r="B33" s="112"/>
      <ns0:c r="C33" s="105"/>
      <ns0:c r="D33" s="106"/>
      <ns0:c r="E33" s="105"/>
      <ns0:c r="F33" s="107"/>
      <ns0:c r="G33" s="114"/>
      <ns0:c r="H33" s="119"/>
      <ns0:c r="I33" s="116" t="str">
        <ns0:f>IF(G33="","",IF(F33="MXN",G33,IF(AND(F33="USD",ISNUMBER(H33),H33&gt;0),ROUND(G33*H33,2),"Falta cambio")))</ns0:f>
      </ns0:c>
      <ns0:c r="J33" s="106"/>
      <ns0:c r="K33" s="105"/>
      <ns0:c r="L33" s="105"/>
      <ns0:c r="M33" s="105"/>
      <ns0:c r="N33" s="106"/>
      <ns0:c r="O33" s="111" t="str">
        <ns0:f t="shared" si="2">IF(COUNTA(B33:H33,J33:N33)=0,"",IF(OR(NOT(ISNUMBER(B33)),C33="",D33="",E33="",NOT(ISNUMBER(G33)),J33=""),"Completar datos",IF(AND(F33&lt;&gt;"MXN",F33&lt;&gt;"USD"),"Revisar moneda",IF(AND(F33="USD",OR(NOT(ISNUMBER(H33)),H33&lt;=0)),"Falta cambio","Listo"))))</ns0:f>
      </ns0:c>
      <ns0:c r="P33" s="54"/>
      <ns0:c r="Q33" s="144" t="n">
        <ns0:f>DATE($S$4,8,1)</ns0:f>
        <ns0:v>46235</ns0:v>
      </ns0:c>
      <ns0:c r="R33" s="145" t="n">
        <ns0:f>SUMIFS($G$16:$G$115,$F$16:$F$115,"MXN",$B$16:$B$115,"&gt;="&amp;Q33,$B$16:$B$115,"&lt;"&amp;DATE(YEAR(Q33),MONTH(Q33)+1,1))</ns0:f>
        <ns0:v>0</ns0:v>
      </ns0:c>
      <ns0:c r="S33" s="145" t="n">
        <ns0:f>SUMIFS($G$16:$G$115,$F$16:$F$115,"USD",$B$16:$B$115,"&gt;="&amp;Q33,$B$16:$B$115,"&lt;"&amp;DATE(YEAR(Q33),MONTH(Q33)+1,1))</ns0:f>
        <ns0:v>0</ns0:v>
      </ns0:c>
      <ns0:c r="T33" s="145" t="n">
        <ns0:f>IF(COUNTIFS($O$16:$O$115,"Falta cambio",$B$16:$B$115,"&gt;="&amp;Q33,$B$16:$B$115,"&lt;"&amp;DATE(YEAR(Q33),MONTH(Q33)+1,1))&gt;0,"Falta cambio",SUMIFS($I$16:$I$115,$B$16:$B$115,"&gt;="&amp;Q33,$B$16:$B$115,"&lt;"&amp;DATE(YEAR(Q33),MONTH(Q33)+1,1)))</ns0:f>
        <ns0:v>0</ns0:v>
      </ns0:c>
    </ns0:row>
    <ns0:row r="34" ht="24" customHeight="1">
      <ns0:c r="B34" s="112"/>
      <ns0:c r="C34" s="105"/>
      <ns0:c r="D34" s="106"/>
      <ns0:c r="E34" s="105"/>
      <ns0:c r="F34" s="107"/>
      <ns0:c r="G34" s="114"/>
      <ns0:c r="H34" s="119"/>
      <ns0:c r="I34" s="116" t="str">
        <ns0:f>IF(G34="","",IF(F34="MXN",G34,IF(AND(F34="USD",ISNUMBER(H34),H34&gt;0),ROUND(G34*H34,2),"Falta cambio")))</ns0:f>
      </ns0:c>
      <ns0:c r="J34" s="106"/>
      <ns0:c r="K34" s="105"/>
      <ns0:c r="L34" s="105"/>
      <ns0:c r="M34" s="105"/>
      <ns0:c r="N34" s="106"/>
      <ns0:c r="O34" s="111" t="str">
        <ns0:f t="shared" si="2">IF(COUNTA(B34:H34,J34:N34)=0,"",IF(OR(NOT(ISNUMBER(B34)),C34="",D34="",E34="",NOT(ISNUMBER(G34)),J34=""),"Completar datos",IF(AND(F34&lt;&gt;"MXN",F34&lt;&gt;"USD"),"Revisar moneda",IF(AND(F34="USD",OR(NOT(ISNUMBER(H34)),H34&lt;=0)),"Falta cambio","Listo"))))</ns0:f>
      </ns0:c>
      <ns0:c r="P34" s="54"/>
      <ns0:c r="Q34" s="144" t="n">
        <ns0:f>DATE($S$4,9,1)</ns0:f>
        <ns0:v>46266</ns0:v>
      </ns0:c>
      <ns0:c r="R34" s="145" t="n">
        <ns0:f>SUMIFS($G$16:$G$115,$F$16:$F$115,"MXN",$B$16:$B$115,"&gt;="&amp;Q34,$B$16:$B$115,"&lt;"&amp;DATE(YEAR(Q34),MONTH(Q34)+1,1))</ns0:f>
        <ns0:v>0</ns0:v>
      </ns0:c>
      <ns0:c r="S34" s="145" t="n">
        <ns0:f>SUMIFS($G$16:$G$115,$F$16:$F$115,"USD",$B$16:$B$115,"&gt;="&amp;Q34,$B$16:$B$115,"&lt;"&amp;DATE(YEAR(Q34),MONTH(Q34)+1,1))</ns0:f>
        <ns0:v>0</ns0:v>
      </ns0:c>
      <ns0:c r="T34" s="145" t="n">
        <ns0:f>IF(COUNTIFS($O$16:$O$115,"Falta cambio",$B$16:$B$115,"&gt;="&amp;Q34,$B$16:$B$115,"&lt;"&amp;DATE(YEAR(Q34),MONTH(Q34)+1,1))&gt;0,"Falta cambio",SUMIFS($I$16:$I$115,$B$16:$B$115,"&gt;="&amp;Q34,$B$16:$B$115,"&lt;"&amp;DATE(YEAR(Q34),MONTH(Q34)+1,1)))</ns0:f>
        <ns0:v>0</ns0:v>
      </ns0:c>
    </ns0:row>
    <ns0:row r="35" ht="24" customHeight="1">
      <ns0:c r="B35" s="112"/>
      <ns0:c r="C35" s="105"/>
      <ns0:c r="D35" s="106"/>
      <ns0:c r="E35" s="105"/>
      <ns0:c r="F35" s="107"/>
      <ns0:c r="G35" s="114"/>
      <ns0:c r="H35" s="119"/>
      <ns0:c r="I35" s="116" t="str">
        <ns0:f>IF(G35="","",IF(F35="MXN",G35,IF(AND(F35="USD",ISNUMBER(H35),H35&gt;0),ROUND(G35*H35,2),"Falta cambio")))</ns0:f>
      </ns0:c>
      <ns0:c r="J35" s="106"/>
      <ns0:c r="K35" s="105"/>
      <ns0:c r="L35" s="105"/>
      <ns0:c r="M35" s="105"/>
      <ns0:c r="N35" s="106"/>
      <ns0:c r="O35" s="111" t="str">
        <ns0:f t="shared" si="2">IF(COUNTA(B35:H35,J35:N35)=0,"",IF(OR(NOT(ISNUMBER(B35)),C35="",D35="",E35="",NOT(ISNUMBER(G35)),J35=""),"Completar datos",IF(AND(F35&lt;&gt;"MXN",F35&lt;&gt;"USD"),"Revisar moneda",IF(AND(F35="USD",OR(NOT(ISNUMBER(H35)),H35&lt;=0)),"Falta cambio","Listo"))))</ns0:f>
      </ns0:c>
      <ns0:c r="P35" s="54"/>
      <ns0:c r="Q35" s="144" t="n">
        <ns0:f>DATE($S$4,10,1)</ns0:f>
        <ns0:v>46296</ns0:v>
      </ns0:c>
      <ns0:c r="R35" s="145" t="n">
        <ns0:f>SUMIFS($G$16:$G$115,$F$16:$F$115,"MXN",$B$16:$B$115,"&gt;="&amp;Q35,$B$16:$B$115,"&lt;"&amp;DATE(YEAR(Q35),MONTH(Q35)+1,1))</ns0:f>
        <ns0:v>0</ns0:v>
      </ns0:c>
      <ns0:c r="S35" s="145" t="n">
        <ns0:f>SUMIFS($G$16:$G$115,$F$16:$F$115,"USD",$B$16:$B$115,"&gt;="&amp;Q35,$B$16:$B$115,"&lt;"&amp;DATE(YEAR(Q35),MONTH(Q35)+1,1))</ns0:f>
        <ns0:v>0</ns0:v>
      </ns0:c>
      <ns0:c r="T35" s="145" t="n">
        <ns0:f>IF(COUNTIFS($O$16:$O$115,"Falta cambio",$B$16:$B$115,"&gt;="&amp;Q35,$B$16:$B$115,"&lt;"&amp;DATE(YEAR(Q35),MONTH(Q35)+1,1))&gt;0,"Falta cambio",SUMIFS($I$16:$I$115,$B$16:$B$115,"&gt;="&amp;Q35,$B$16:$B$115,"&lt;"&amp;DATE(YEAR(Q35),MONTH(Q35)+1,1)))</ns0:f>
        <ns0:v>0</ns0:v>
      </ns0:c>
    </ns0:row>
    <ns0:row r="36" ht="24" customHeight="1">
      <ns0:c r="B36" s="112"/>
      <ns0:c r="C36" s="105"/>
      <ns0:c r="D36" s="106"/>
      <ns0:c r="E36" s="105"/>
      <ns0:c r="F36" s="107"/>
      <ns0:c r="G36" s="114"/>
      <ns0:c r="H36" s="119"/>
      <ns0:c r="I36" s="116" t="str">
        <ns0:f>IF(G36="","",IF(F36="MXN",G36,IF(AND(F36="USD",ISNUMBER(H36),H36&gt;0),ROUND(G36*H36,2),"Falta cambio")))</ns0:f>
      </ns0:c>
      <ns0:c r="J36" s="106"/>
      <ns0:c r="K36" s="105"/>
      <ns0:c r="L36" s="105"/>
      <ns0:c r="M36" s="105"/>
      <ns0:c r="N36" s="106"/>
      <ns0:c r="O36" s="111" t="str">
        <ns0:f t="shared" si="2">IF(COUNTA(B36:H36,J36:N36)=0,"",IF(OR(NOT(ISNUMBER(B36)),C36="",D36="",E36="",NOT(ISNUMBER(G36)),J36=""),"Completar datos",IF(AND(F36&lt;&gt;"MXN",F36&lt;&gt;"USD"),"Revisar moneda",IF(AND(F36="USD",OR(NOT(ISNUMBER(H36)),H36&lt;=0)),"Falta cambio","Listo"))))</ns0:f>
      </ns0:c>
      <ns0:c r="P36" s="54"/>
      <ns0:c r="Q36" s="144" t="n">
        <ns0:f>DATE($S$4,11,1)</ns0:f>
        <ns0:v>46327</ns0:v>
      </ns0:c>
      <ns0:c r="R36" s="145" t="n">
        <ns0:f>SUMIFS($G$16:$G$115,$F$16:$F$115,"MXN",$B$16:$B$115,"&gt;="&amp;Q36,$B$16:$B$115,"&lt;"&amp;DATE(YEAR(Q36),MONTH(Q36)+1,1))</ns0:f>
        <ns0:v>0</ns0:v>
      </ns0:c>
      <ns0:c r="S36" s="145" t="n">
        <ns0:f>SUMIFS($G$16:$G$115,$F$16:$F$115,"USD",$B$16:$B$115,"&gt;="&amp;Q36,$B$16:$B$115,"&lt;"&amp;DATE(YEAR(Q36),MONTH(Q36)+1,1))</ns0:f>
        <ns0:v>0</ns0:v>
      </ns0:c>
      <ns0:c r="T36" s="145" t="n">
        <ns0:f>IF(COUNTIFS($O$16:$O$115,"Falta cambio",$B$16:$B$115,"&gt;="&amp;Q36,$B$16:$B$115,"&lt;"&amp;DATE(YEAR(Q36),MONTH(Q36)+1,1))&gt;0,"Falta cambio",SUMIFS($I$16:$I$115,$B$16:$B$115,"&gt;="&amp;Q36,$B$16:$B$115,"&lt;"&amp;DATE(YEAR(Q36),MONTH(Q36)+1,1)))</ns0:f>
        <ns0:v>0</ns0:v>
      </ns0:c>
    </ns0:row>
    <ns0:row r="37" ht="24" customHeight="1">
      <ns0:c r="B37" s="112"/>
      <ns0:c r="C37" s="105"/>
      <ns0:c r="D37" s="106"/>
      <ns0:c r="E37" s="105"/>
      <ns0:c r="F37" s="107"/>
      <ns0:c r="G37" s="114"/>
      <ns0:c r="H37" s="119"/>
      <ns0:c r="I37" s="116" t="str">
        <ns0:f>IF(G37="","",IF(F37="MXN",G37,IF(AND(F37="USD",ISNUMBER(H37),H37&gt;0),ROUND(G37*H37,2),"Falta cambio")))</ns0:f>
      </ns0:c>
      <ns0:c r="J37" s="106"/>
      <ns0:c r="K37" s="105"/>
      <ns0:c r="L37" s="105"/>
      <ns0:c r="M37" s="105"/>
      <ns0:c r="N37" s="106"/>
      <ns0:c r="O37" s="111" t="str">
        <ns0:f t="shared" si="2">IF(COUNTA(B37:H37,J37:N37)=0,"",IF(OR(NOT(ISNUMBER(B37)),C37="",D37="",E37="",NOT(ISNUMBER(G37)),J37=""),"Completar datos",IF(AND(F37&lt;&gt;"MXN",F37&lt;&gt;"USD"),"Revisar moneda",IF(AND(F37="USD",OR(NOT(ISNUMBER(H37)),H37&lt;=0)),"Falta cambio","Listo"))))</ns0:f>
      </ns0:c>
      <ns0:c r="P37" s="54"/>
      <ns0:c r="Q37" s="144" t="n">
        <ns0:f>DATE($S$4,12,1)</ns0:f>
        <ns0:v>46357</ns0:v>
      </ns0:c>
      <ns0:c r="R37" s="145" t="n">
        <ns0:f>SUMIFS($G$16:$G$115,$F$16:$F$115,"MXN",$B$16:$B$115,"&gt;="&amp;Q37,$B$16:$B$115,"&lt;"&amp;DATE(YEAR(Q37),MONTH(Q37)+1,1))</ns0:f>
        <ns0:v>0</ns0:v>
      </ns0:c>
      <ns0:c r="S37" s="145" t="n">
        <ns0:f>SUMIFS($G$16:$G$115,$F$16:$F$115,"USD",$B$16:$B$115,"&gt;="&amp;Q37,$B$16:$B$115,"&lt;"&amp;DATE(YEAR(Q37),MONTH(Q37)+1,1))</ns0:f>
        <ns0:v>0</ns0:v>
      </ns0:c>
      <ns0:c r="T37" s="145" t="n">
        <ns0:f>IF(COUNTIFS($O$16:$O$115,"Falta cambio",$B$16:$B$115,"&gt;="&amp;Q37,$B$16:$B$115,"&lt;"&amp;DATE(YEAR(Q37),MONTH(Q37)+1,1))&gt;0,"Falta cambio",SUMIFS($I$16:$I$115,$B$16:$B$115,"&gt;="&amp;Q37,$B$16:$B$115,"&lt;"&amp;DATE(YEAR(Q37),MONTH(Q37)+1,1)))</ns0:f>
        <ns0:v>0</ns0:v>
      </ns0:c>
    </ns0:row>
    <ns0:row r="38" ht="23" customHeight="1">
      <ns0:c r="B38" s="112"/>
      <ns0:c r="C38" s="105"/>
      <ns0:c r="D38" s="106"/>
      <ns0:c r="E38" s="105"/>
      <ns0:c r="F38" s="107"/>
      <ns0:c r="G38" s="114"/>
      <ns0:c r="H38" s="119"/>
      <ns0:c r="I38" s="116" t="str">
        <ns0:f>IF(G38="","",IF(F38="MXN",G38,IF(AND(F38="USD",ISNUMBER(H38),H38&gt;0),ROUND(G38*H38,2),"Falta cambio")))</ns0:f>
      </ns0:c>
      <ns0:c r="J38" s="106"/>
      <ns0:c r="K38" s="105"/>
      <ns0:c r="L38" s="105"/>
      <ns0:c r="M38" s="105"/>
      <ns0:c r="N38" s="106"/>
      <ns0:c r="O38" s="111" t="str">
        <ns0:f t="shared" si="2">IF(COUNTA(B38:H38,J38:N38)=0,"",IF(OR(NOT(ISNUMBER(B38)),C38="",D38="",E38="",NOT(ISNUMBER(G38)),J38=""),"Completar datos",IF(AND(F38&lt;&gt;"MXN",F38&lt;&gt;"USD"),"Revisar moneda",IF(AND(F38="USD",OR(NOT(ISNUMBER(H38)),H38&lt;=0)),"Falta cambio","Listo"))))</ns0:f>
      </ns0:c>
      <ns0:c r="P38" s="54"/>
      <ns0:c r="Q38" s="54"/>
      <ns0:c r="R38" s="54"/>
      <ns0:c r="S38" s="54"/>
      <ns0:c r="T38" s="56"/>
    </ns0:row>
    <ns0:row r="39" ht="23" customHeight="1">
      <ns0:c r="B39" s="112"/>
      <ns0:c r="C39" s="105"/>
      <ns0:c r="D39" s="106"/>
      <ns0:c r="E39" s="105"/>
      <ns0:c r="F39" s="107"/>
      <ns0:c r="G39" s="114"/>
      <ns0:c r="H39" s="119"/>
      <ns0:c r="I39" s="116" t="str">
        <ns0:f>IF(G39="","",IF(F39="MXN",G39,IF(AND(F39="USD",ISNUMBER(H39),H39&gt;0),ROUND(G39*H39,2),"Falta cambio")))</ns0:f>
      </ns0:c>
      <ns0:c r="J39" s="106"/>
      <ns0:c r="K39" s="105"/>
      <ns0:c r="L39" s="105"/>
      <ns0:c r="M39" s="105"/>
      <ns0:c r="N39" s="106"/>
      <ns0:c r="O39" s="111" t="str">
        <ns0:f t="shared" si="2">IF(COUNTA(B39:H39,J39:N39)=0,"",IF(OR(NOT(ISNUMBER(B39)),C39="",D39="",E39="",NOT(ISNUMBER(G39)),J39=""),"Completar datos",IF(AND(F39&lt;&gt;"MXN",F39&lt;&gt;"USD"),"Revisar moneda",IF(AND(F39="USD",OR(NOT(ISNUMBER(H39)),H39&lt;=0)),"Falta cambio","Listo"))))</ns0:f>
      </ns0:c>
      <ns0:c r="P39" s="54"/>
      <ns0:c r="Q39" s="142" t="str">
        <ns0:v>Uso</ns0:v>
      </ns0:c>
      <ns0:c r="R39" s="142"/>
      <ns0:c r="S39" s="142"/>
      <ns0:c r="T39" s="143"/>
    </ns0:row>
    <ns0:row r="40" ht="23" customHeight="1">
      <ns0:c r="B40" s="113"/>
      <ns0:c r="C40" s="108"/>
      <ns0:c r="D40" s="108"/>
      <ns0:c r="E40" s="108"/>
      <ns0:c r="F40" s="108"/>
      <ns0:c r="G40" s="117"/>
      <ns0:c r="H40" s="120"/>
      <ns0:c r="I40" s="118" t="str">
        <ns0:f>IF(G40="","",IF(F40="MXN",G40,IF(AND(F40="USD",ISNUMBER(H40),H40&gt;0),ROUND(G40*H40,2),"Falta cambio")))</ns0:f>
      </ns0:c>
      <ns0:c r="J40" s="108"/>
      <ns0:c r="K40" s="108"/>
      <ns0:c r="L40" s="108"/>
      <ns0:c r="M40" s="108"/>
      <ns0:c r="N40" s="108"/>
      <ns0:c r="O40" s="110" t="str">
        <ns0:f>IF(COUNTA(B40:H40,J40:N40)=0,"",IF(OR(NOT(ISNUMBER(B40)),C40="",D40="",E40="",NOT(ISNUMBER(G40)),J40=""),"Completar datos",IF(AND(F40&lt;&gt;"MXN",F40&lt;&gt;"USD"),"Revisar moneda",IF(AND(F40="USD",OR(NOT(ISNUMBER(H40)),H40&lt;=0)),"Falta cambio","Listo"))))</ns0:f>
      </ns0:c>
      <ns0:c r="P40" s="56"/>
      <ns0:c r="Q40" s="143" t="str">
        <ns0:v>Una fila por gasto, pagado o pendiente.</ns0:v>
      </ns0:c>
      <ns0:c r="R40" s="143"/>
      <ns0:c r="S40" s="143"/>
      <ns0:c r="T40" s="143"/>
    </ns0:row>
    <ns0:row r="41" ht="23" customHeight="1">
      <ns0:c r="B41" s="113"/>
      <ns0:c r="C41" s="108"/>
      <ns0:c r="D41" s="108"/>
      <ns0:c r="E41" s="108"/>
      <ns0:c r="F41" s="108"/>
      <ns0:c r="G41" s="117"/>
      <ns0:c r="H41" s="120"/>
      <ns0:c r="I41" s="118" t="str">
        <ns0:f>IF(G41="","",IF(F41="MXN",G41,IF(AND(F41="USD",ISNUMBER(H41),H41&gt;0),ROUND(G41*H41,2),"Falta cambio")))</ns0:f>
      </ns0:c>
      <ns0:c r="J41" s="108"/>
      <ns0:c r="K41" s="108"/>
      <ns0:c r="L41" s="108"/>
      <ns0:c r="M41" s="108"/>
      <ns0:c r="N41" s="108"/>
      <ns0:c r="O41" s="110" t="str">
        <ns0:f>IF(COUNTA(B41:H41,J41:N41)=0,"",IF(OR(NOT(ISNUMBER(B41)),C41="",D41="",E41="",NOT(ISNUMBER(G41)),J41=""),"Completar datos",IF(AND(F41&lt;&gt;"MXN",F41&lt;&gt;"USD"),"Revisar moneda",IF(AND(F41="USD",OR(NOT(ISNUMBER(H41)),H41&lt;=0)),"Falta cambio","Listo"))))</ns0:f>
      </ns0:c>
      <ns0:c r="P41" s="56"/>
      <ns0:c r="Q41" s="143" t="str">
        <ns0:v>Fecha = fecha del gasto, no del pago.</ns0:v>
      </ns0:c>
      <ns0:c r="R41" s="143"/>
      <ns0:c r="S41" s="143"/>
      <ns0:c r="T41" s="143"/>
    </ns0:row>
    <ns0:row r="42" ht="23" customHeight="1">
      <ns0:c r="B42" s="113"/>
      <ns0:c r="C42" s="108"/>
      <ns0:c r="D42" s="108"/>
      <ns0:c r="E42" s="108"/>
      <ns0:c r="F42" s="108"/>
      <ns0:c r="G42" s="117"/>
      <ns0:c r="H42" s="120"/>
      <ns0:c r="I42" s="118" t="str">
        <ns0:f>IF(G42="","",IF(F42="MXN",G42,IF(AND(F42="USD",ISNUMBER(H42),H42&gt;0),ROUND(G42*H42,2),"Falta cambio")))</ns0:f>
      </ns0:c>
      <ns0:c r="J42" s="108"/>
      <ns0:c r="K42" s="108"/>
      <ns0:c r="L42" s="108"/>
      <ns0:c r="M42" s="108"/>
      <ns0:c r="N42" s="108"/>
      <ns0:c r="O42" s="110" t="str">
        <ns0:f>IF(COUNTA(B42:H42,J42:N42)=0,"",IF(OR(NOT(ISNUMBER(B42)),C42="",D42="",E42="",NOT(ISNUMBER(G42)),J42=""),"Completar datos",IF(AND(F42&lt;&gt;"MXN",F42&lt;&gt;"USD"),"Revisar moneda",IF(AND(F42="USD",OR(NOT(ISNUMBER(H42)),H42&lt;=0)),"Falta cambio","Listo"))))</ns0:f>
      </ns0:c>
      <ns0:c r="P42" s="56"/>
      <ns0:c r="Q42" s="143" t="str">
        <ns0:v>Captura importes en su moneda original.</ns0:v>
      </ns0:c>
      <ns0:c r="R42" s="143"/>
      <ns0:c r="S42" s="143"/>
      <ns0:c r="T42" s="143"/>
    </ns0:row>
    <ns0:row r="43" ht="23" customHeight="1">
      <ns0:c r="B43" s="113"/>
      <ns0:c r="C43" s="108"/>
      <ns0:c r="D43" s="108"/>
      <ns0:c r="E43" s="108"/>
      <ns0:c r="F43" s="108"/>
      <ns0:c r="G43" s="117"/>
      <ns0:c r="H43" s="120"/>
      <ns0:c r="I43" s="118" t="str">
        <ns0:f>IF(G43="","",IF(F43="MXN",G43,IF(AND(F43="USD",ISNUMBER(H43),H43&gt;0),ROUND(G43*H43,2),"Falta cambio")))</ns0:f>
      </ns0:c>
      <ns0:c r="J43" s="108"/>
      <ns0:c r="K43" s="108"/>
      <ns0:c r="L43" s="108"/>
      <ns0:c r="M43" s="108"/>
      <ns0:c r="N43" s="108"/>
      <ns0:c r="O43" s="110" t="str">
        <ns0:f>IF(COUNTA(B43:H43,J43:N43)=0,"",IF(OR(NOT(ISNUMBER(B43)),C43="",D43="",E43="",NOT(ISNUMBER(G43)),J43=""),"Completar datos",IF(AND(F43&lt;&gt;"MXN",F43&lt;&gt;"USD"),"Revisar moneda",IF(AND(F43="USD",OR(NOT(ISNUMBER(H43)),H43&lt;=0)),"Falta cambio","Listo"))))</ns0:f>
      </ns0:c>
      <ns0:c r="P43" s="56"/>
      <ns0:c r="Q43" s="143" t="str">
        <ns0:v>Tipo de cambio: el aplicado a ese gasto.</ns0:v>
      </ns0:c>
      <ns0:c r="R43" s="143"/>
      <ns0:c r="S43" s="143"/>
      <ns0:c r="T43" s="143"/>
    </ns0:row>
    <ns0:row r="44" ht="23" customHeight="1">
      <ns0:c r="B44" s="113"/>
      <ns0:c r="C44" s="108"/>
      <ns0:c r="D44" s="108"/>
      <ns0:c r="E44" s="108"/>
      <ns0:c r="F44" s="108"/>
      <ns0:c r="G44" s="117"/>
      <ns0:c r="H44" s="120"/>
      <ns0:c r="I44" s="118" t="str">
        <ns0:f>IF(G44="","",IF(F44="MXN",G44,IF(AND(F44="USD",ISNUMBER(H44),H44&gt;0),ROUND(G44*H44,2),"Falta cambio")))</ns0:f>
      </ns0:c>
      <ns0:c r="J44" s="108"/>
      <ns0:c r="K44" s="108"/>
      <ns0:c r="L44" s="108"/>
      <ns0:c r="M44" s="108"/>
      <ns0:c r="N44" s="108"/>
      <ns0:c r="O44" s="110" t="str">
        <ns0:f>IF(COUNTA(B44:H44,J44:N44)=0,"",IF(OR(NOT(ISNUMBER(B44)),C44="",D44="",E44="",NOT(ISNUMBER(G44)),J44=""),"Completar datos",IF(AND(F44&lt;&gt;"MXN",F44&lt;&gt;"USD"),"Revisar moneda",IF(AND(F44="USD",OR(NOT(ISNUMBER(H44)),H44&lt;=0)),"Falta cambio","Listo"))))</ns0:f>
      </ns0:c>
      <ns0:c r="P44" s="56"/>
      <ns0:c r="Q44" s="143" t="str">
        <ns0:v>No mezcles USD y MXN sin convertir.</ns0:v>
      </ns0:c>
      <ns0:c r="R44" s="143"/>
      <ns0:c r="S44" s="143"/>
      <ns0:c r="T44" s="143"/>
    </ns0:row>
    <ns0:row r="45" ht="23" customHeight="1">
      <ns0:c r="B45" s="113"/>
      <ns0:c r="C45" s="108"/>
      <ns0:c r="D45" s="108"/>
      <ns0:c r="E45" s="108"/>
      <ns0:c r="F45" s="108"/>
      <ns0:c r="G45" s="117"/>
      <ns0:c r="H45" s="120"/>
      <ns0:c r="I45" s="118" t="str">
        <ns0:f>IF(G45="","",IF(F45="MXN",G45,IF(AND(F45="USD",ISNUMBER(H45),H45&gt;0),ROUND(G45*H45,2),"Falta cambio")))</ns0:f>
      </ns0:c>
      <ns0:c r="J45" s="108"/>
      <ns0:c r="K45" s="108"/>
      <ns0:c r="L45" s="108"/>
      <ns0:c r="M45" s="108"/>
      <ns0:c r="N45" s="108"/>
      <ns0:c r="O45" s="110" t="str">
        <ns0:f>IF(COUNTA(B45:H45,J45:N45)=0,"",IF(OR(NOT(ISNUMBER(B45)),C45="",D45="",E45="",NOT(ISNUMBER(G45)),J45=""),"Completar datos",IF(AND(F45&lt;&gt;"MXN",F45&lt;&gt;"USD"),"Revisar moneda",IF(AND(F45="USD",OR(NOT(ISNUMBER(H45)),H45&lt;=0)),"Falta cambio","Listo"))))</ns0:f>
      </ns0:c>
      <ns0:c r="P45" s="56"/>
      <ns0:c r="Q45" s="143" t="str">
        <ns0:v>Resumen: enero a diciembre del año elegido.</ns0:v>
      </ns0:c>
      <ns0:c r="R45" s="143"/>
      <ns0:c r="S45" s="143"/>
      <ns0:c r="T45" s="143"/>
    </ns0:row>
    <ns0:row r="46" ht="23" customHeight="1">
      <ns0:c r="B46" s="113"/>
      <ns0:c r="C46" s="108"/>
      <ns0:c r="D46" s="108"/>
      <ns0:c r="E46" s="108"/>
      <ns0:c r="F46" s="108"/>
      <ns0:c r="G46" s="117"/>
      <ns0:c r="H46" s="120"/>
      <ns0:c r="I46" s="118" t="str">
        <ns0:f>IF(G46="","",IF(F46="MXN",G46,IF(AND(F46="USD",ISNUMBER(H46),H46&gt;0),ROUND(G46*H46,2),"Falta cambio")))</ns0:f>
      </ns0:c>
      <ns0:c r="J46" s="108"/>
      <ns0:c r="K46" s="108"/>
      <ns0:c r="L46" s="108"/>
      <ns0:c r="M46" s="108"/>
      <ns0:c r="N46" s="108"/>
      <ns0:c r="O46" s="110" t="str">
        <ns0:f>IF(COUNTA(B46:H46,J46:N46)=0,"",IF(OR(NOT(ISNUMBER(B46)),C46="",D46="",E46="",NOT(ISNUMBER(G46)),J46=""),"Completar datos",IF(AND(F46&lt;&gt;"MXN",F46&lt;&gt;"USD"),"Revisar moneda",IF(AND(F46="USD",OR(NOT(ISNUMBER(H46)),H46&lt;=0)),"Falta cambio","Listo"))))</ns0:f>
      </ns0:c>
      <ns0:c r="P46" s="56"/>
      <ns0:c r="Q46" s="143" t="str">
        <ns0:v>Revisión cuenta registros de todos los años.</ns0:v>
      </ns0:c>
      <ns0:c r="R46" s="143"/>
      <ns0:c r="S46" s="143"/>
      <ns0:c r="T46" s="143"/>
    </ns0:row>
    <ns0:row r="47" ht="23" customHeight="1">
      <ns0:c r="B47" s="113"/>
      <ns0:c r="C47" s="108"/>
      <ns0:c r="D47" s="108"/>
      <ns0:c r="E47" s="108"/>
      <ns0:c r="F47" s="108"/>
      <ns0:c r="G47" s="117"/>
      <ns0:c r="H47" s="120"/>
      <ns0:c r="I47" s="118" t="str">
        <ns0:f>IF(G47="","",IF(F47="MXN",G47,IF(AND(F47="USD",ISNUMBER(H47),H47&gt;0),ROUND(G47*H47,2),"Falta cambio")))</ns0:f>
      </ns0:c>
      <ns0:c r="J47" s="108"/>
      <ns0:c r="K47" s="108"/>
      <ns0:c r="L47" s="108"/>
      <ns0:c r="M47" s="108"/>
      <ns0:c r="N47" s="108"/>
      <ns0:c r="O47" s="110" t="str">
        <ns0:f>IF(COUNTA(B47:H47,J47:N47)=0,"",IF(OR(NOT(ISNUMBER(B47)),C47="",D47="",E47="",NOT(ISNUMBER(G47)),J47=""),"Completar datos",IF(AND(F47&lt;&gt;"MXN",F47&lt;&gt;"USD"),"Revisar moneda",IF(AND(F47="USD",OR(NOT(ISNUMBER(H47)),H47&lt;=0)),"Falta cambio","Listo"))))</ns0:f>
      </ns0:c>
      <ns0:c r="P47" s="56"/>
      <ns0:c r="Q47" s="143" t="str">
        <ns0:v>Antes de usar totales, corrige las revisiones.</ns0:v>
      </ns0:c>
      <ns0:c r="R47" s="143"/>
      <ns0:c r="S47" s="143"/>
      <ns0:c r="T47" s="143"/>
    </ns0:row>
    <ns0:row r="48" ht="23" customHeight="1">
      <ns0:c r="B48" s="113"/>
      <ns0:c r="C48" s="108"/>
      <ns0:c r="D48" s="108"/>
      <ns0:c r="E48" s="108"/>
      <ns0:c r="F48" s="108"/>
      <ns0:c r="G48" s="117"/>
      <ns0:c r="H48" s="120"/>
      <ns0:c r="I48" s="118" t="str">
        <ns0:f>IF(G48="","",IF(F48="MXN",G48,IF(AND(F48="USD",ISNUMBER(H48),H48&gt;0),ROUND(G48*H48,2),"Falta cambio")))</ns0:f>
      </ns0:c>
      <ns0:c r="J48" s="108"/>
      <ns0:c r="K48" s="108"/>
      <ns0:c r="L48" s="108"/>
      <ns0:c r="M48" s="108"/>
      <ns0:c r="N48" s="108"/>
      <ns0:c r="O48" s="110" t="str">
        <ns0:f>IF(COUNTA(B48:H48,J48:N48)=0,"",IF(OR(NOT(ISNUMBER(B48)),C48="",D48="",E48="",NOT(ISNUMBER(G48)),J48=""),"Completar datos",IF(AND(F48&lt;&gt;"MXN",F48&lt;&gt;"USD"),"Revisar moneda",IF(AND(F48="USD",OR(NOT(ISNUMBER(H48)),H48&lt;=0)),"Falta cambio","Listo"))))</ns0:f>
      </ns0:c>
      <ns0:c r="P48" s="56"/>
      <ns0:c r="Q48" s="143" t="str">
        <ns0:v>Sin gastos registrados: totales en cero.</ns0:v>
      </ns0:c>
      <ns0:c r="R48" s="143"/>
      <ns0:c r="S48" s="143"/>
      <ns0:c r="T48" s="143"/>
    </ns0:row>
    <ns0:row r="49" ht="23" customHeight="1">
      <ns0:c r="B49" s="113"/>
      <ns0:c r="C49" s="108"/>
      <ns0:c r="D49" s="108"/>
      <ns0:c r="E49" s="108"/>
      <ns0:c r="F49" s="108"/>
      <ns0:c r="G49" s="117"/>
      <ns0:c r="H49" s="120"/>
      <ns0:c r="I49" s="118" t="str">
        <ns0:f>IF(G49="","",IF(F49="MXN",G49,IF(AND(F49="USD",ISNUMBER(H49),H49&gt;0),ROUND(G49*H49,2),"Falta cambio")))</ns0:f>
      </ns0:c>
      <ns0:c r="J49" s="108"/>
      <ns0:c r="K49" s="108"/>
      <ns0:c r="L49" s="108"/>
      <ns0:c r="M49" s="108"/>
      <ns0:c r="N49" s="108"/>
      <ns0:c r="O49" s="110" t="str">
        <ns0:f>IF(COUNTA(B49:H49,J49:N49)=0,"",IF(OR(NOT(ISNUMBER(B49)),C49="",D49="",E49="",NOT(ISNUMBER(G49)),J49=""),"Completar datos",IF(AND(F49&lt;&gt;"MXN",F49&lt;&gt;"USD"),"Revisar moneda",IF(AND(F49="USD",OR(NOT(ISNUMBER(H49)),H49&lt;=0)),"Falta cambio","Listo"))))</ns0:f>
      </ns0:c>
      <ns0:c r="P49" s="56"/>
      <ns0:c r="Q49" s="143" t="str">
        <ns0:v>Captura hasta la fila 115.</ns0:v>
      </ns0:c>
      <ns0:c r="R49" s="143"/>
      <ns0:c r="S49" s="143"/>
      <ns0:c r="T49" s="143"/>
    </ns0:row>
    <ns0:row r="50" ht="23" customHeight="1">
      <ns0:c r="B50" s="113"/>
      <ns0:c r="C50" s="108"/>
      <ns0:c r="D50" s="108"/>
      <ns0:c r="E50" s="108"/>
      <ns0:c r="F50" s="108"/>
      <ns0:c r="G50" s="117"/>
      <ns0:c r="H50" s="120"/>
      <ns0:c r="I50" s="118" t="str">
        <ns0:f>IF(G50="","",IF(F50="MXN",G50,IF(AND(F50="USD",ISNUMBER(H50),H50&gt;0),ROUND(G50*H50,2),"Falta cambio")))</ns0:f>
      </ns0:c>
      <ns0:c r="J50" s="108"/>
      <ns0:c r="K50" s="108"/>
      <ns0:c r="L50" s="108"/>
      <ns0:c r="M50" s="108"/>
      <ns0:c r="N50" s="108"/>
      <ns0:c r="O50" s="110" t="str">
        <ns0:f>IF(COUNTA(B50:H50,J50:N50)=0,"",IF(OR(NOT(ISNUMBER(B50)),C50="",D50="",E50="",NOT(ISNUMBER(G50)),J50=""),"Completar datos",IF(AND(F50&lt;&gt;"MXN",F50&lt;&gt;"USD"),"Revisar moneda",IF(AND(F50="USD",OR(NOT(ISNUMBER(H50)),H50&lt;=0)),"Falta cambio","Listo"))))</ns0:f>
      </ns0:c>
      <ns0:c r="P50" s="56"/>
      <ns0:c r="Q50" s="56"/>
      <ns0:c r="R50" s="56"/>
      <ns0:c r="S50" s="56"/>
      <ns0:c r="T50" s="56"/>
    </ns0:row>
    <ns0:row r="51" ht="23" customHeight="1">
      <ns0:c r="B51" s="113"/>
      <ns0:c r="C51" s="108"/>
      <ns0:c r="D51" s="108"/>
      <ns0:c r="E51" s="108"/>
      <ns0:c r="F51" s="108"/>
      <ns0:c r="G51" s="117"/>
      <ns0:c r="H51" s="120"/>
      <ns0:c r="I51" s="118" t="str">
        <ns0:f>IF(G51="","",IF(F51="MXN",G51,IF(AND(F51="USD",ISNUMBER(H51),H51&gt;0),ROUND(G51*H51,2),"Falta cambio")))</ns0:f>
      </ns0:c>
      <ns0:c r="J51" s="108"/>
      <ns0:c r="K51" s="108"/>
      <ns0:c r="L51" s="108"/>
      <ns0:c r="M51" s="108"/>
      <ns0:c r="N51" s="108"/>
      <ns0:c r="O51" s="110" t="str">
        <ns0:f>IF(COUNTA(B51:H51,J51:N51)=0,"",IF(OR(NOT(ISNUMBER(B51)),C51="",D51="",E51="",NOT(ISNUMBER(G51)),J51=""),"Completar datos",IF(AND(F51&lt;&gt;"MXN",F51&lt;&gt;"USD"),"Revisar moneda",IF(AND(F51="USD",OR(NOT(ISNUMBER(H51)),H51&lt;=0)),"Falta cambio","Listo"))))</ns0:f>
      </ns0:c>
      <ns0:c r="P51" s="56"/>
      <ns0:c r="Q51" s="56"/>
      <ns0:c r="R51" s="56"/>
      <ns0:c r="S51" s="56"/>
      <ns0:c r="T51" s="56"/>
    </ns0:row>
    <ns0:row r="52" ht="23" customHeight="1">
      <ns0:c r="B52" s="113"/>
      <ns0:c r="C52" s="108"/>
      <ns0:c r="D52" s="108"/>
      <ns0:c r="E52" s="108"/>
      <ns0:c r="F52" s="108"/>
      <ns0:c r="G52" s="117"/>
      <ns0:c r="H52" s="120"/>
      <ns0:c r="I52" s="118" t="str">
        <ns0:f>IF(G52="","",IF(F52="MXN",G52,IF(AND(F52="USD",ISNUMBER(H52),H52&gt;0),ROUND(G52*H52,2),"Falta cambio")))</ns0:f>
      </ns0:c>
      <ns0:c r="J52" s="108"/>
      <ns0:c r="K52" s="108"/>
      <ns0:c r="L52" s="108"/>
      <ns0:c r="M52" s="108"/>
      <ns0:c r="N52" s="108"/>
      <ns0:c r="O52" s="110" t="str">
        <ns0:f>IF(COUNTA(B52:H52,J52:N52)=0,"",IF(OR(NOT(ISNUMBER(B52)),C52="",D52="",E52="",NOT(ISNUMBER(G52)),J52=""),"Completar datos",IF(AND(F52&lt;&gt;"MXN",F52&lt;&gt;"USD"),"Revisar moneda",IF(AND(F52="USD",OR(NOT(ISNUMBER(H52)),H52&lt;=0)),"Falta cambio","Listo"))))</ns0:f>
      </ns0:c>
      <ns0:c r="P52" s="56"/>
      <ns0:c r="Q52" s="56"/>
      <ns0:c r="R52" s="56"/>
      <ns0:c r="S52" s="56"/>
      <ns0:c r="T52" s="56"/>
    </ns0:row>
    <ns0:row r="53" ht="23" customHeight="1">
      <ns0:c r="B53" s="113"/>
      <ns0:c r="C53" s="108"/>
      <ns0:c r="D53" s="108"/>
      <ns0:c r="E53" s="108"/>
      <ns0:c r="F53" s="108"/>
      <ns0:c r="G53" s="117"/>
      <ns0:c r="H53" s="120"/>
      <ns0:c r="I53" s="118" t="str">
        <ns0:f>IF(G53="","",IF(F53="MXN",G53,IF(AND(F53="USD",ISNUMBER(H53),H53&gt;0),ROUND(G53*H53,2),"Falta cambio")))</ns0:f>
      </ns0:c>
      <ns0:c r="J53" s="108"/>
      <ns0:c r="K53" s="108"/>
      <ns0:c r="L53" s="108"/>
      <ns0:c r="M53" s="108"/>
      <ns0:c r="N53" s="108"/>
      <ns0:c r="O53" s="110" t="str">
        <ns0:f>IF(COUNTA(B53:H53,J53:N53)=0,"",IF(OR(NOT(ISNUMBER(B53)),C53="",D53="",E53="",NOT(ISNUMBER(G53)),J53=""),"Completar datos",IF(AND(F53&lt;&gt;"MXN",F53&lt;&gt;"USD"),"Revisar moneda",IF(AND(F53="USD",OR(NOT(ISNUMBER(H53)),H53&lt;=0)),"Falta cambio","Listo"))))</ns0:f>
      </ns0:c>
      <ns0:c r="P53" s="56"/>
      <ns0:c r="Q53" s="56"/>
      <ns0:c r="R53" s="56"/>
      <ns0:c r="S53" s="56"/>
      <ns0:c r="T53" s="56"/>
    </ns0:row>
    <ns0:row r="54" ht="23" customHeight="1">
      <ns0:c r="B54" s="113"/>
      <ns0:c r="C54" s="108"/>
      <ns0:c r="D54" s="108"/>
      <ns0:c r="E54" s="108"/>
      <ns0:c r="F54" s="108"/>
      <ns0:c r="G54" s="117"/>
      <ns0:c r="H54" s="120"/>
      <ns0:c r="I54" s="118" t="str">
        <ns0:f>IF(G54="","",IF(F54="MXN",G54,IF(AND(F54="USD",ISNUMBER(H54),H54&gt;0),ROUND(G54*H54,2),"Falta cambio")))</ns0:f>
      </ns0:c>
      <ns0:c r="J54" s="108"/>
      <ns0:c r="K54" s="108"/>
      <ns0:c r="L54" s="108"/>
      <ns0:c r="M54" s="108"/>
      <ns0:c r="N54" s="108"/>
      <ns0:c r="O54" s="110" t="str">
        <ns0:f>IF(COUNTA(B54:H54,J54:N54)=0,"",IF(OR(NOT(ISNUMBER(B54)),C54="",D54="",E54="",NOT(ISNUMBER(G54)),J54=""),"Completar datos",IF(AND(F54&lt;&gt;"MXN",F54&lt;&gt;"USD"),"Revisar moneda",IF(AND(F54="USD",OR(NOT(ISNUMBER(H54)),H54&lt;=0)),"Falta cambio","Listo"))))</ns0:f>
      </ns0:c>
      <ns0:c r="P54" s="56"/>
      <ns0:c r="Q54" s="56"/>
      <ns0:c r="R54" s="56"/>
      <ns0:c r="S54" s="56"/>
      <ns0:c r="T54" s="56"/>
    </ns0:row>
    <ns0:row r="55" ht="23" customHeight="1">
      <ns0:c r="B55" s="113"/>
      <ns0:c r="C55" s="108"/>
      <ns0:c r="D55" s="108"/>
      <ns0:c r="E55" s="108"/>
      <ns0:c r="F55" s="108"/>
      <ns0:c r="G55" s="117"/>
      <ns0:c r="H55" s="120"/>
      <ns0:c r="I55" s="118" t="str">
        <ns0:f>IF(G55="","",IF(F55="MXN",G55,IF(AND(F55="USD",ISNUMBER(H55),H55&gt;0),ROUND(G55*H55,2),"Falta cambio")))</ns0:f>
      </ns0:c>
      <ns0:c r="J55" s="108"/>
      <ns0:c r="K55" s="108"/>
      <ns0:c r="L55" s="108"/>
      <ns0:c r="M55" s="108"/>
      <ns0:c r="N55" s="108"/>
      <ns0:c r="O55" s="110" t="str">
        <ns0:f>IF(COUNTA(B55:H55,J55:N55)=0,"",IF(OR(NOT(ISNUMBER(B55)),C55="",D55="",E55="",NOT(ISNUMBER(G55)),J55=""),"Completar datos",IF(AND(F55&lt;&gt;"MXN",F55&lt;&gt;"USD"),"Revisar moneda",IF(AND(F55="USD",OR(NOT(ISNUMBER(H55)),H55&lt;=0)),"Falta cambio","Listo"))))</ns0:f>
      </ns0:c>
      <ns0:c r="P55" s="56"/>
      <ns0:c r="Q55" s="56"/>
      <ns0:c r="R55" s="56"/>
      <ns0:c r="S55" s="56"/>
      <ns0:c r="T55" s="56"/>
    </ns0:row>
    <ns0:row r="56" ht="23" customHeight="1">
      <ns0:c r="B56" s="113"/>
      <ns0:c r="C56" s="108"/>
      <ns0:c r="D56" s="108"/>
      <ns0:c r="E56" s="108"/>
      <ns0:c r="F56" s="108"/>
      <ns0:c r="G56" s="117"/>
      <ns0:c r="H56" s="120"/>
      <ns0:c r="I56" s="118" t="str">
        <ns0:f>IF(G56="","",IF(F56="MXN",G56,IF(AND(F56="USD",ISNUMBER(H56),H56&gt;0),ROUND(G56*H56,2),"Falta cambio")))</ns0:f>
      </ns0:c>
      <ns0:c r="J56" s="108"/>
      <ns0:c r="K56" s="108"/>
      <ns0:c r="L56" s="108"/>
      <ns0:c r="M56" s="108"/>
      <ns0:c r="N56" s="108"/>
      <ns0:c r="O56" s="110" t="str">
        <ns0:f>IF(COUNTA(B56:H56,J56:N56)=0,"",IF(OR(NOT(ISNUMBER(B56)),C56="",D56="",E56="",NOT(ISNUMBER(G56)),J56=""),"Completar datos",IF(AND(F56&lt;&gt;"MXN",F56&lt;&gt;"USD"),"Revisar moneda",IF(AND(F56="USD",OR(NOT(ISNUMBER(H56)),H56&lt;=0)),"Falta cambio","Listo"))))</ns0:f>
      </ns0:c>
      <ns0:c r="P56" s="56"/>
      <ns0:c r="Q56" s="56"/>
      <ns0:c r="R56" s="56"/>
      <ns0:c r="S56" s="56"/>
      <ns0:c r="T56" s="56"/>
    </ns0:row>
    <ns0:row r="57" ht="23" customHeight="1">
      <ns0:c r="B57" s="113"/>
      <ns0:c r="C57" s="108"/>
      <ns0:c r="D57" s="108"/>
      <ns0:c r="E57" s="108"/>
      <ns0:c r="F57" s="108"/>
      <ns0:c r="G57" s="117"/>
      <ns0:c r="H57" s="120"/>
      <ns0:c r="I57" s="118" t="str">
        <ns0:f>IF(G57="","",IF(F57="MXN",G57,IF(AND(F57="USD",ISNUMBER(H57),H57&gt;0),ROUND(G57*H57,2),"Falta cambio")))</ns0:f>
      </ns0:c>
      <ns0:c r="J57" s="108"/>
      <ns0:c r="K57" s="108"/>
      <ns0:c r="L57" s="108"/>
      <ns0:c r="M57" s="108"/>
      <ns0:c r="N57" s="108"/>
      <ns0:c r="O57" s="110" t="str">
        <ns0:f>IF(COUNTA(B57:H57,J57:N57)=0,"",IF(OR(NOT(ISNUMBER(B57)),C57="",D57="",E57="",NOT(ISNUMBER(G57)),J57=""),"Completar datos",IF(AND(F57&lt;&gt;"MXN",F57&lt;&gt;"USD"),"Revisar moneda",IF(AND(F57="USD",OR(NOT(ISNUMBER(H57)),H57&lt;=0)),"Falta cambio","Listo"))))</ns0:f>
      </ns0:c>
      <ns0:c r="P57" s="56"/>
      <ns0:c r="Q57" s="56"/>
      <ns0:c r="R57" s="56"/>
      <ns0:c r="S57" s="56"/>
      <ns0:c r="T57" s="56"/>
    </ns0:row>
    <ns0:row r="58" ht="23" customHeight="1">
      <ns0:c r="B58" s="113"/>
      <ns0:c r="C58" s="108"/>
      <ns0:c r="D58" s="108"/>
      <ns0:c r="E58" s="108"/>
      <ns0:c r="F58" s="108"/>
      <ns0:c r="G58" s="117"/>
      <ns0:c r="H58" s="120"/>
      <ns0:c r="I58" s="118" t="str">
        <ns0:f>IF(G58="","",IF(F58="MXN",G58,IF(AND(F58="USD",ISNUMBER(H58),H58&gt;0),ROUND(G58*H58,2),"Falta cambio")))</ns0:f>
      </ns0:c>
      <ns0:c r="J58" s="108"/>
      <ns0:c r="K58" s="108"/>
      <ns0:c r="L58" s="108"/>
      <ns0:c r="M58" s="108"/>
      <ns0:c r="N58" s="108"/>
      <ns0:c r="O58" s="110" t="str">
        <ns0:f>IF(COUNTA(B58:H58,J58:N58)=0,"",IF(OR(NOT(ISNUMBER(B58)),C58="",D58="",E58="",NOT(ISNUMBER(G58)),J58=""),"Completar datos",IF(AND(F58&lt;&gt;"MXN",F58&lt;&gt;"USD"),"Revisar moneda",IF(AND(F58="USD",OR(NOT(ISNUMBER(H58)),H58&lt;=0)),"Falta cambio","Listo"))))</ns0:f>
      </ns0:c>
      <ns0:c r="P58" s="56"/>
      <ns0:c r="Q58" s="56"/>
      <ns0:c r="R58" s="56"/>
      <ns0:c r="S58" s="56"/>
      <ns0:c r="T58" s="56"/>
    </ns0:row>
    <ns0:row r="59" ht="23" customHeight="1">
      <ns0:c r="B59" s="113"/>
      <ns0:c r="C59" s="108"/>
      <ns0:c r="D59" s="108"/>
      <ns0:c r="E59" s="108"/>
      <ns0:c r="F59" s="108"/>
      <ns0:c r="G59" s="117"/>
      <ns0:c r="H59" s="120"/>
      <ns0:c r="I59" s="118" t="str">
        <ns0:f>IF(G59="","",IF(F59="MXN",G59,IF(AND(F59="USD",ISNUMBER(H59),H59&gt;0),ROUND(G59*H59,2),"Falta cambio")))</ns0:f>
      </ns0:c>
      <ns0:c r="J59" s="108"/>
      <ns0:c r="K59" s="108"/>
      <ns0:c r="L59" s="108"/>
      <ns0:c r="M59" s="108"/>
      <ns0:c r="N59" s="108"/>
      <ns0:c r="O59" s="110" t="str">
        <ns0:f>IF(COUNTA(B59:H59,J59:N59)=0,"",IF(OR(NOT(ISNUMBER(B59)),C59="",D59="",E59="",NOT(ISNUMBER(G59)),J59=""),"Completar datos",IF(AND(F59&lt;&gt;"MXN",F59&lt;&gt;"USD"),"Revisar moneda",IF(AND(F59="USD",OR(NOT(ISNUMBER(H59)),H59&lt;=0)),"Falta cambio","Listo"))))</ns0:f>
      </ns0:c>
      <ns0:c r="P59" s="56"/>
      <ns0:c r="Q59" s="56"/>
      <ns0:c r="R59" s="56"/>
      <ns0:c r="S59" s="56"/>
      <ns0:c r="T59" s="56"/>
    </ns0:row>
    <ns0:row r="60" ht="23" customHeight="1">
      <ns0:c r="B60" s="113"/>
      <ns0:c r="C60" s="108"/>
      <ns0:c r="D60" s="108"/>
      <ns0:c r="E60" s="108"/>
      <ns0:c r="F60" s="108"/>
      <ns0:c r="G60" s="117"/>
      <ns0:c r="H60" s="120"/>
      <ns0:c r="I60" s="118" t="str">
        <ns0:f>IF(G60="","",IF(F60="MXN",G60,IF(AND(F60="USD",ISNUMBER(H60),H60&gt;0),ROUND(G60*H60,2),"Falta cambio")))</ns0:f>
      </ns0:c>
      <ns0:c r="J60" s="108"/>
      <ns0:c r="K60" s="108"/>
      <ns0:c r="L60" s="108"/>
      <ns0:c r="M60" s="108"/>
      <ns0:c r="N60" s="108"/>
      <ns0:c r="O60" s="110" t="str">
        <ns0:f>IF(COUNTA(B60:H60,J60:N60)=0,"",IF(OR(NOT(ISNUMBER(B60)),C60="",D60="",E60="",NOT(ISNUMBER(G60)),J60=""),"Completar datos",IF(AND(F60&lt;&gt;"MXN",F60&lt;&gt;"USD"),"Revisar moneda",IF(AND(F60="USD",OR(NOT(ISNUMBER(H60)),H60&lt;=0)),"Falta cambio","Listo"))))</ns0:f>
      </ns0:c>
      <ns0:c r="P60" s="56"/>
      <ns0:c r="Q60" s="56"/>
      <ns0:c r="R60" s="56"/>
      <ns0:c r="S60" s="56"/>
      <ns0:c r="T60" s="56"/>
    </ns0:row>
    <ns0:row r="61" ht="23" customHeight="1">
      <ns0:c r="B61" s="113"/>
      <ns0:c r="C61" s="108"/>
      <ns0:c r="D61" s="108"/>
      <ns0:c r="E61" s="108"/>
      <ns0:c r="F61" s="108"/>
      <ns0:c r="G61" s="117"/>
      <ns0:c r="H61" s="120"/>
      <ns0:c r="I61" s="118" t="str">
        <ns0:f>IF(G61="","",IF(F61="MXN",G61,IF(AND(F61="USD",ISNUMBER(H61),H61&gt;0),ROUND(G61*H61,2),"Falta cambio")))</ns0:f>
      </ns0:c>
      <ns0:c r="J61" s="108"/>
      <ns0:c r="K61" s="108"/>
      <ns0:c r="L61" s="108"/>
      <ns0:c r="M61" s="108"/>
      <ns0:c r="N61" s="108"/>
      <ns0:c r="O61" s="110" t="str">
        <ns0:f>IF(COUNTA(B61:H61,J61:N61)=0,"",IF(OR(NOT(ISNUMBER(B61)),C61="",D61="",E61="",NOT(ISNUMBER(G61)),J61=""),"Completar datos",IF(AND(F61&lt;&gt;"MXN",F61&lt;&gt;"USD"),"Revisar moneda",IF(AND(F61="USD",OR(NOT(ISNUMBER(H61)),H61&lt;=0)),"Falta cambio","Listo"))))</ns0:f>
      </ns0:c>
      <ns0:c r="P61" s="56"/>
      <ns0:c r="Q61" s="56"/>
      <ns0:c r="R61" s="56"/>
      <ns0:c r="S61" s="56"/>
      <ns0:c r="T61" s="56"/>
    </ns0:row>
    <ns0:row r="62" ht="23" customHeight="1">
      <ns0:c r="B62" s="113"/>
      <ns0:c r="C62" s="108"/>
      <ns0:c r="D62" s="108"/>
      <ns0:c r="E62" s="108"/>
      <ns0:c r="F62" s="108"/>
      <ns0:c r="G62" s="117"/>
      <ns0:c r="H62" s="120"/>
      <ns0:c r="I62" s="118" t="str">
        <ns0:f>IF(G62="","",IF(F62="MXN",G62,IF(AND(F62="USD",ISNUMBER(H62),H62&gt;0),ROUND(G62*H62,2),"Falta cambio")))</ns0:f>
      </ns0:c>
      <ns0:c r="J62" s="108"/>
      <ns0:c r="K62" s="108"/>
      <ns0:c r="L62" s="108"/>
      <ns0:c r="M62" s="108"/>
      <ns0:c r="N62" s="108"/>
      <ns0:c r="O62" s="110" t="str">
        <ns0:f>IF(COUNTA(B62:H62,J62:N62)=0,"",IF(OR(NOT(ISNUMBER(B62)),C62="",D62="",E62="",NOT(ISNUMBER(G62)),J62=""),"Completar datos",IF(AND(F62&lt;&gt;"MXN",F62&lt;&gt;"USD"),"Revisar moneda",IF(AND(F62="USD",OR(NOT(ISNUMBER(H62)),H62&lt;=0)),"Falta cambio","Listo"))))</ns0:f>
      </ns0:c>
      <ns0:c r="P62" s="56"/>
      <ns0:c r="Q62" s="56"/>
      <ns0:c r="R62" s="56"/>
      <ns0:c r="S62" s="56"/>
      <ns0:c r="T62" s="56"/>
    </ns0:row>
    <ns0:row r="63" ht="23" customHeight="1">
      <ns0:c r="B63" s="113"/>
      <ns0:c r="C63" s="108"/>
      <ns0:c r="D63" s="108"/>
      <ns0:c r="E63" s="108"/>
      <ns0:c r="F63" s="108"/>
      <ns0:c r="G63" s="117"/>
      <ns0:c r="H63" s="120"/>
      <ns0:c r="I63" s="118" t="str">
        <ns0:f>IF(G63="","",IF(F63="MXN",G63,IF(AND(F63="USD",ISNUMBER(H63),H63&gt;0),ROUND(G63*H63,2),"Falta cambio")))</ns0:f>
      </ns0:c>
      <ns0:c r="J63" s="108"/>
      <ns0:c r="K63" s="108"/>
      <ns0:c r="L63" s="108"/>
      <ns0:c r="M63" s="108"/>
      <ns0:c r="N63" s="108"/>
      <ns0:c r="O63" s="110" t="str">
        <ns0:f>IF(COUNTA(B63:H63,J63:N63)=0,"",IF(OR(NOT(ISNUMBER(B63)),C63="",D63="",E63="",NOT(ISNUMBER(G63)),J63=""),"Completar datos",IF(AND(F63&lt;&gt;"MXN",F63&lt;&gt;"USD"),"Revisar moneda",IF(AND(F63="USD",OR(NOT(ISNUMBER(H63)),H63&lt;=0)),"Falta cambio","Listo"))))</ns0:f>
      </ns0:c>
      <ns0:c r="P63" s="56"/>
      <ns0:c r="Q63" s="56"/>
      <ns0:c r="R63" s="56"/>
      <ns0:c r="S63" s="56"/>
      <ns0:c r="T63" s="56"/>
    </ns0:row>
    <ns0:row r="64" ht="23" customHeight="1">
      <ns0:c r="B64" s="113"/>
      <ns0:c r="C64" s="108"/>
      <ns0:c r="D64" s="108"/>
      <ns0:c r="E64" s="108"/>
      <ns0:c r="F64" s="108"/>
      <ns0:c r="G64" s="117"/>
      <ns0:c r="H64" s="120"/>
      <ns0:c r="I64" s="118" t="str">
        <ns0:f>IF(G64="","",IF(F64="MXN",G64,IF(AND(F64="USD",ISNUMBER(H64),H64&gt;0),ROUND(G64*H64,2),"Falta cambio")))</ns0:f>
      </ns0:c>
      <ns0:c r="J64" s="108"/>
      <ns0:c r="K64" s="108"/>
      <ns0:c r="L64" s="108"/>
      <ns0:c r="M64" s="108"/>
      <ns0:c r="N64" s="108"/>
      <ns0:c r="O64" s="110" t="str">
        <ns0:f>IF(COUNTA(B64:H64,J64:N64)=0,"",IF(OR(NOT(ISNUMBER(B64)),C64="",D64="",E64="",NOT(ISNUMBER(G64)),J64=""),"Completar datos",IF(AND(F64&lt;&gt;"MXN",F64&lt;&gt;"USD"),"Revisar moneda",IF(AND(F64="USD",OR(NOT(ISNUMBER(H64)),H64&lt;=0)),"Falta cambio","Listo"))))</ns0:f>
      </ns0:c>
      <ns0:c r="P64" s="56"/>
      <ns0:c r="Q64" s="56"/>
      <ns0:c r="R64" s="56"/>
      <ns0:c r="S64" s="56"/>
      <ns0:c r="T64" s="56"/>
    </ns0:row>
    <ns0:row r="65" ht="23" customHeight="1">
      <ns0:c r="B65" s="113"/>
      <ns0:c r="C65" s="108"/>
      <ns0:c r="D65" s="108"/>
      <ns0:c r="E65" s="108"/>
      <ns0:c r="F65" s="108"/>
      <ns0:c r="G65" s="117"/>
      <ns0:c r="H65" s="120"/>
      <ns0:c r="I65" s="118" t="str">
        <ns0:f>IF(G65="","",IF(F65="MXN",G65,IF(AND(F65="USD",ISNUMBER(H65),H65&gt;0),ROUND(G65*H65,2),"Falta cambio")))</ns0:f>
      </ns0:c>
      <ns0:c r="J65" s="108"/>
      <ns0:c r="K65" s="108"/>
      <ns0:c r="L65" s="108"/>
      <ns0:c r="M65" s="108"/>
      <ns0:c r="N65" s="108"/>
      <ns0:c r="O65" s="110" t="str">
        <ns0:f>IF(COUNTA(B65:H65,J65:N65)=0,"",IF(OR(NOT(ISNUMBER(B65)),C65="",D65="",E65="",NOT(ISNUMBER(G65)),J65=""),"Completar datos",IF(AND(F65&lt;&gt;"MXN",F65&lt;&gt;"USD"),"Revisar moneda",IF(AND(F65="USD",OR(NOT(ISNUMBER(H65)),H65&lt;=0)),"Falta cambio","Listo"))))</ns0:f>
      </ns0:c>
      <ns0:c r="P65" s="56"/>
      <ns0:c r="Q65" s="56"/>
      <ns0:c r="R65" s="56"/>
      <ns0:c r="S65" s="56"/>
      <ns0:c r="T65" s="56"/>
    </ns0:row>
    <ns0:row r="66" ht="23" customHeight="1">
      <ns0:c r="B66" s="113"/>
      <ns0:c r="C66" s="108"/>
      <ns0:c r="D66" s="108"/>
      <ns0:c r="E66" s="108"/>
      <ns0:c r="F66" s="108"/>
      <ns0:c r="G66" s="117"/>
      <ns0:c r="H66" s="120"/>
      <ns0:c r="I66" s="118" t="str">
        <ns0:f>IF(G66="","",IF(F66="MXN",G66,IF(AND(F66="USD",ISNUMBER(H66),H66&gt;0),ROUND(G66*H66,2),"Falta cambio")))</ns0:f>
      </ns0:c>
      <ns0:c r="J66" s="108"/>
      <ns0:c r="K66" s="108"/>
      <ns0:c r="L66" s="108"/>
      <ns0:c r="M66" s="108"/>
      <ns0:c r="N66" s="108"/>
      <ns0:c r="O66" s="110" t="str">
        <ns0:f>IF(COUNTA(B66:H66,J66:N66)=0,"",IF(OR(NOT(ISNUMBER(B66)),C66="",D66="",E66="",NOT(ISNUMBER(G66)),J66=""),"Completar datos",IF(AND(F66&lt;&gt;"MXN",F66&lt;&gt;"USD"),"Revisar moneda",IF(AND(F66="USD",OR(NOT(ISNUMBER(H66)),H66&lt;=0)),"Falta cambio","Listo"))))</ns0:f>
      </ns0:c>
      <ns0:c r="P66" s="56"/>
      <ns0:c r="Q66" s="56"/>
      <ns0:c r="R66" s="56"/>
      <ns0:c r="S66" s="56"/>
      <ns0:c r="T66" s="56"/>
    </ns0:row>
    <ns0:row r="67" ht="23" customHeight="1">
      <ns0:c r="B67" s="113"/>
      <ns0:c r="C67" s="108"/>
      <ns0:c r="D67" s="108"/>
      <ns0:c r="E67" s="108"/>
      <ns0:c r="F67" s="108"/>
      <ns0:c r="G67" s="117"/>
      <ns0:c r="H67" s="120"/>
      <ns0:c r="I67" s="118" t="str">
        <ns0:f>IF(G67="","",IF(F67="MXN",G67,IF(AND(F67="USD",ISNUMBER(H67),H67&gt;0),ROUND(G67*H67,2),"Falta cambio")))</ns0:f>
      </ns0:c>
      <ns0:c r="J67" s="108"/>
      <ns0:c r="K67" s="108"/>
      <ns0:c r="L67" s="108"/>
      <ns0:c r="M67" s="108"/>
      <ns0:c r="N67" s="108"/>
      <ns0:c r="O67" s="110" t="str">
        <ns0:f>IF(COUNTA(B67:H67,J67:N67)=0,"",IF(OR(NOT(ISNUMBER(B67)),C67="",D67="",E67="",NOT(ISNUMBER(G67)),J67=""),"Completar datos",IF(AND(F67&lt;&gt;"MXN",F67&lt;&gt;"USD"),"Revisar moneda",IF(AND(F67="USD",OR(NOT(ISNUMBER(H67)),H67&lt;=0)),"Falta cambio","Listo"))))</ns0:f>
      </ns0:c>
      <ns0:c r="P67" s="56"/>
      <ns0:c r="Q67" s="56"/>
      <ns0:c r="R67" s="56"/>
      <ns0:c r="S67" s="56"/>
      <ns0:c r="T67" s="56"/>
    </ns0:row>
    <ns0:row r="68" ht="23" customHeight="1">
      <ns0:c r="B68" s="113"/>
      <ns0:c r="C68" s="108"/>
      <ns0:c r="D68" s="108"/>
      <ns0:c r="E68" s="108"/>
      <ns0:c r="F68" s="108"/>
      <ns0:c r="G68" s="117"/>
      <ns0:c r="H68" s="120"/>
      <ns0:c r="I68" s="118" t="str">
        <ns0:f>IF(G68="","",IF(F68="MXN",G68,IF(AND(F68="USD",ISNUMBER(H68),H68&gt;0),ROUND(G68*H68,2),"Falta cambio")))</ns0:f>
      </ns0:c>
      <ns0:c r="J68" s="108"/>
      <ns0:c r="K68" s="108"/>
      <ns0:c r="L68" s="108"/>
      <ns0:c r="M68" s="108"/>
      <ns0:c r="N68" s="108"/>
      <ns0:c r="O68" s="110" t="str">
        <ns0:f>IF(COUNTA(B68:H68,J68:N68)=0,"",IF(OR(NOT(ISNUMBER(B68)),C68="",D68="",E68="",NOT(ISNUMBER(G68)),J68=""),"Completar datos",IF(AND(F68&lt;&gt;"MXN",F68&lt;&gt;"USD"),"Revisar moneda",IF(AND(F68="USD",OR(NOT(ISNUMBER(H68)),H68&lt;=0)),"Falta cambio","Listo"))))</ns0:f>
      </ns0:c>
      <ns0:c r="P68" s="56"/>
      <ns0:c r="Q68" s="56"/>
      <ns0:c r="R68" s="56"/>
      <ns0:c r="S68" s="56"/>
      <ns0:c r="T68" s="56"/>
    </ns0:row>
    <ns0:row r="69" ht="23" customHeight="1">
      <ns0:c r="B69" s="113"/>
      <ns0:c r="C69" s="108"/>
      <ns0:c r="D69" s="108"/>
      <ns0:c r="E69" s="108"/>
      <ns0:c r="F69" s="108"/>
      <ns0:c r="G69" s="117"/>
      <ns0:c r="H69" s="120"/>
      <ns0:c r="I69" s="118" t="str">
        <ns0:f>IF(G69="","",IF(F69="MXN",G69,IF(AND(F69="USD",ISNUMBER(H69),H69&gt;0),ROUND(G69*H69,2),"Falta cambio")))</ns0:f>
      </ns0:c>
      <ns0:c r="J69" s="108"/>
      <ns0:c r="K69" s="108"/>
      <ns0:c r="L69" s="108"/>
      <ns0:c r="M69" s="108"/>
      <ns0:c r="N69" s="108"/>
      <ns0:c r="O69" s="110" t="str">
        <ns0:f>IF(COUNTA(B69:H69,J69:N69)=0,"",IF(OR(NOT(ISNUMBER(B69)),C69="",D69="",E69="",NOT(ISNUMBER(G69)),J69=""),"Completar datos",IF(AND(F69&lt;&gt;"MXN",F69&lt;&gt;"USD"),"Revisar moneda",IF(AND(F69="USD",OR(NOT(ISNUMBER(H69)),H69&lt;=0)),"Falta cambio","Listo"))))</ns0:f>
      </ns0:c>
      <ns0:c r="P69" s="56"/>
      <ns0:c r="Q69" s="56"/>
      <ns0:c r="R69" s="56"/>
      <ns0:c r="S69" s="56"/>
      <ns0:c r="T69" s="56"/>
    </ns0:row>
    <ns0:row r="70" ht="23" customHeight="1">
      <ns0:c r="B70" s="113"/>
      <ns0:c r="C70" s="108"/>
      <ns0:c r="D70" s="108"/>
      <ns0:c r="E70" s="108"/>
      <ns0:c r="F70" s="108"/>
      <ns0:c r="G70" s="117"/>
      <ns0:c r="H70" s="120"/>
      <ns0:c r="I70" s="118" t="str">
        <ns0:f>IF(G70="","",IF(F70="MXN",G70,IF(AND(F70="USD",ISNUMBER(H70),H70&gt;0),ROUND(G70*H70,2),"Falta cambio")))</ns0:f>
      </ns0:c>
      <ns0:c r="J70" s="108"/>
      <ns0:c r="K70" s="108"/>
      <ns0:c r="L70" s="108"/>
      <ns0:c r="M70" s="108"/>
      <ns0:c r="N70" s="108"/>
      <ns0:c r="O70" s="110" t="str">
        <ns0:f>IF(COUNTA(B70:H70,J70:N70)=0,"",IF(OR(NOT(ISNUMBER(B70)),C70="",D70="",E70="",NOT(ISNUMBER(G70)),J70=""),"Completar datos",IF(AND(F70&lt;&gt;"MXN",F70&lt;&gt;"USD"),"Revisar moneda",IF(AND(F70="USD",OR(NOT(ISNUMBER(H70)),H70&lt;=0)),"Falta cambio","Listo"))))</ns0:f>
      </ns0:c>
      <ns0:c r="P70" s="56"/>
      <ns0:c r="Q70" s="56"/>
      <ns0:c r="R70" s="56"/>
      <ns0:c r="S70" s="56"/>
      <ns0:c r="T70" s="56"/>
    </ns0:row>
    <ns0:row r="71" ht="23" customHeight="1">
      <ns0:c r="B71" s="113"/>
      <ns0:c r="C71" s="108"/>
      <ns0:c r="D71" s="108"/>
      <ns0:c r="E71" s="108"/>
      <ns0:c r="F71" s="108"/>
      <ns0:c r="G71" s="117"/>
      <ns0:c r="H71" s="120"/>
      <ns0:c r="I71" s="118" t="str">
        <ns0:f>IF(G71="","",IF(F71="MXN",G71,IF(AND(F71="USD",ISNUMBER(H71),H71&gt;0),ROUND(G71*H71,2),"Falta cambio")))</ns0:f>
      </ns0:c>
      <ns0:c r="J71" s="108"/>
      <ns0:c r="K71" s="108"/>
      <ns0:c r="L71" s="108"/>
      <ns0:c r="M71" s="108"/>
      <ns0:c r="N71" s="108"/>
      <ns0:c r="O71" s="110" t="str">
        <ns0:f>IF(COUNTA(B71:H71,J71:N71)=0,"",IF(OR(NOT(ISNUMBER(B71)),C71="",D71="",E71="",NOT(ISNUMBER(G71)),J71=""),"Completar datos",IF(AND(F71&lt;&gt;"MXN",F71&lt;&gt;"USD"),"Revisar moneda",IF(AND(F71="USD",OR(NOT(ISNUMBER(H71)),H71&lt;=0)),"Falta cambio","Listo"))))</ns0:f>
      </ns0:c>
      <ns0:c r="P71" s="56"/>
      <ns0:c r="Q71" s="56"/>
      <ns0:c r="R71" s="56"/>
      <ns0:c r="S71" s="56"/>
      <ns0:c r="T71" s="56"/>
    </ns0:row>
    <ns0:row r="72" ht="23" customHeight="1">
      <ns0:c r="B72" s="113"/>
      <ns0:c r="C72" s="108"/>
      <ns0:c r="D72" s="108"/>
      <ns0:c r="E72" s="108"/>
      <ns0:c r="F72" s="108"/>
      <ns0:c r="G72" s="117"/>
      <ns0:c r="H72" s="120"/>
      <ns0:c r="I72" s="118" t="str">
        <ns0:f>IF(G72="","",IF(F72="MXN",G72,IF(AND(F72="USD",ISNUMBER(H72),H72&gt;0),ROUND(G72*H72,2),"Falta cambio")))</ns0:f>
      </ns0:c>
      <ns0:c r="J72" s="108"/>
      <ns0:c r="K72" s="108"/>
      <ns0:c r="L72" s="108"/>
      <ns0:c r="M72" s="108"/>
      <ns0:c r="N72" s="108"/>
      <ns0:c r="O72" s="110" t="str">
        <ns0:f>IF(COUNTA(B72:H72,J72:N72)=0,"",IF(OR(NOT(ISNUMBER(B72)),C72="",D72="",E72="",NOT(ISNUMBER(G72)),J72=""),"Completar datos",IF(AND(F72&lt;&gt;"MXN",F72&lt;&gt;"USD"),"Revisar moneda",IF(AND(F72="USD",OR(NOT(ISNUMBER(H72)),H72&lt;=0)),"Falta cambio","Listo"))))</ns0:f>
      </ns0:c>
      <ns0:c r="P72" s="56"/>
      <ns0:c r="Q72" s="56"/>
      <ns0:c r="R72" s="56"/>
      <ns0:c r="S72" s="56"/>
      <ns0:c r="T72" s="56"/>
    </ns0:row>
    <ns0:row r="73" ht="23" customHeight="1">
      <ns0:c r="B73" s="113"/>
      <ns0:c r="C73" s="108"/>
      <ns0:c r="D73" s="108"/>
      <ns0:c r="E73" s="108"/>
      <ns0:c r="F73" s="108"/>
      <ns0:c r="G73" s="117"/>
      <ns0:c r="H73" s="120"/>
      <ns0:c r="I73" s="118" t="str">
        <ns0:f>IF(G73="","",IF(F73="MXN",G73,IF(AND(F73="USD",ISNUMBER(H73),H73&gt;0),ROUND(G73*H73,2),"Falta cambio")))</ns0:f>
      </ns0:c>
      <ns0:c r="J73" s="108"/>
      <ns0:c r="K73" s="108"/>
      <ns0:c r="L73" s="108"/>
      <ns0:c r="M73" s="108"/>
      <ns0:c r="N73" s="108"/>
      <ns0:c r="O73" s="110" t="str">
        <ns0:f>IF(COUNTA(B73:H73,J73:N73)=0,"",IF(OR(NOT(ISNUMBER(B73)),C73="",D73="",E73="",NOT(ISNUMBER(G73)),J73=""),"Completar datos",IF(AND(F73&lt;&gt;"MXN",F73&lt;&gt;"USD"),"Revisar moneda",IF(AND(F73="USD",OR(NOT(ISNUMBER(H73)),H73&lt;=0)),"Falta cambio","Listo"))))</ns0:f>
      </ns0:c>
      <ns0:c r="P73" s="56"/>
      <ns0:c r="Q73" s="56"/>
      <ns0:c r="R73" s="56"/>
      <ns0:c r="S73" s="56"/>
      <ns0:c r="T73" s="56"/>
    </ns0:row>
    <ns0:row r="74" ht="23" customHeight="1">
      <ns0:c r="B74" s="113"/>
      <ns0:c r="C74" s="108"/>
      <ns0:c r="D74" s="108"/>
      <ns0:c r="E74" s="108"/>
      <ns0:c r="F74" s="108"/>
      <ns0:c r="G74" s="117"/>
      <ns0:c r="H74" s="120"/>
      <ns0:c r="I74" s="118" t="str">
        <ns0:f>IF(G74="","",IF(F74="MXN",G74,IF(AND(F74="USD",ISNUMBER(H74),H74&gt;0),ROUND(G74*H74,2),"Falta cambio")))</ns0:f>
      </ns0:c>
      <ns0:c r="J74" s="108"/>
      <ns0:c r="K74" s="108"/>
      <ns0:c r="L74" s="108"/>
      <ns0:c r="M74" s="108"/>
      <ns0:c r="N74" s="108"/>
      <ns0:c r="O74" s="110" t="str">
        <ns0:f>IF(COUNTA(B74:H74,J74:N74)=0,"",IF(OR(NOT(ISNUMBER(B74)),C74="",D74="",E74="",NOT(ISNUMBER(G74)),J74=""),"Completar datos",IF(AND(F74&lt;&gt;"MXN",F74&lt;&gt;"USD"),"Revisar moneda",IF(AND(F74="USD",OR(NOT(ISNUMBER(H74)),H74&lt;=0)),"Falta cambio","Listo"))))</ns0:f>
      </ns0:c>
      <ns0:c r="P74" s="56"/>
      <ns0:c r="Q74" s="56"/>
      <ns0:c r="R74" s="56"/>
      <ns0:c r="S74" s="56"/>
      <ns0:c r="T74" s="56"/>
    </ns0:row>
    <ns0:row r="75" ht="23" customHeight="1">
      <ns0:c r="B75" s="113"/>
      <ns0:c r="C75" s="108"/>
      <ns0:c r="D75" s="108"/>
      <ns0:c r="E75" s="108"/>
      <ns0:c r="F75" s="108"/>
      <ns0:c r="G75" s="117"/>
      <ns0:c r="H75" s="120"/>
      <ns0:c r="I75" s="118" t="str">
        <ns0:f>IF(G75="","",IF(F75="MXN",G75,IF(AND(F75="USD",ISNUMBER(H75),H75&gt;0),ROUND(G75*H75,2),"Falta cambio")))</ns0:f>
      </ns0:c>
      <ns0:c r="J75" s="108"/>
      <ns0:c r="K75" s="108"/>
      <ns0:c r="L75" s="108"/>
      <ns0:c r="M75" s="108"/>
      <ns0:c r="N75" s="108"/>
      <ns0:c r="O75" s="110" t="str">
        <ns0:f>IF(COUNTA(B75:H75,J75:N75)=0,"",IF(OR(NOT(ISNUMBER(B75)),C75="",D75="",E75="",NOT(ISNUMBER(G75)),J75=""),"Completar datos",IF(AND(F75&lt;&gt;"MXN",F75&lt;&gt;"USD"),"Revisar moneda",IF(AND(F75="USD",OR(NOT(ISNUMBER(H75)),H75&lt;=0)),"Falta cambio","Listo"))))</ns0:f>
      </ns0:c>
      <ns0:c r="P75" s="56"/>
      <ns0:c r="Q75" s="56"/>
      <ns0:c r="R75" s="56"/>
      <ns0:c r="S75" s="56"/>
      <ns0:c r="T75" s="56"/>
    </ns0:row>
    <ns0:row r="76" ht="23" customHeight="1">
      <ns0:c r="B76" s="113"/>
      <ns0:c r="C76" s="108"/>
      <ns0:c r="D76" s="108"/>
      <ns0:c r="E76" s="108"/>
      <ns0:c r="F76" s="108"/>
      <ns0:c r="G76" s="117"/>
      <ns0:c r="H76" s="120"/>
      <ns0:c r="I76" s="118" t="str">
        <ns0:f>IF(G76="","",IF(F76="MXN",G76,IF(AND(F76="USD",ISNUMBER(H76),H76&gt;0),ROUND(G76*H76,2),"Falta cambio")))</ns0:f>
      </ns0:c>
      <ns0:c r="J76" s="108"/>
      <ns0:c r="K76" s="108"/>
      <ns0:c r="L76" s="108"/>
      <ns0:c r="M76" s="108"/>
      <ns0:c r="N76" s="108"/>
      <ns0:c r="O76" s="110" t="str">
        <ns0:f>IF(COUNTA(B76:H76,J76:N76)=0,"",IF(OR(NOT(ISNUMBER(B76)),C76="",D76="",E76="",NOT(ISNUMBER(G76)),J76=""),"Completar datos",IF(AND(F76&lt;&gt;"MXN",F76&lt;&gt;"USD"),"Revisar moneda",IF(AND(F76="USD",OR(NOT(ISNUMBER(H76)),H76&lt;=0)),"Falta cambio","Listo"))))</ns0:f>
      </ns0:c>
      <ns0:c r="P76" s="56"/>
      <ns0:c r="Q76" s="56"/>
      <ns0:c r="R76" s="56"/>
      <ns0:c r="S76" s="56"/>
      <ns0:c r="T76" s="56"/>
    </ns0:row>
    <ns0:row r="77" ht="23" customHeight="1">
      <ns0:c r="B77" s="113"/>
      <ns0:c r="C77" s="108"/>
      <ns0:c r="D77" s="108"/>
      <ns0:c r="E77" s="108"/>
      <ns0:c r="F77" s="108"/>
      <ns0:c r="G77" s="117"/>
      <ns0:c r="H77" s="120"/>
      <ns0:c r="I77" s="118" t="str">
        <ns0:f>IF(G77="","",IF(F77="MXN",G77,IF(AND(F77="USD",ISNUMBER(H77),H77&gt;0),ROUND(G77*H77,2),"Falta cambio")))</ns0:f>
      </ns0:c>
      <ns0:c r="J77" s="108"/>
      <ns0:c r="K77" s="108"/>
      <ns0:c r="L77" s="108"/>
      <ns0:c r="M77" s="108"/>
      <ns0:c r="N77" s="108"/>
      <ns0:c r="O77" s="110" t="str">
        <ns0:f>IF(COUNTA(B77:H77,J77:N77)=0,"",IF(OR(NOT(ISNUMBER(B77)),C77="",D77="",E77="",NOT(ISNUMBER(G77)),J77=""),"Completar datos",IF(AND(F77&lt;&gt;"MXN",F77&lt;&gt;"USD"),"Revisar moneda",IF(AND(F77="USD",OR(NOT(ISNUMBER(H77)),H77&lt;=0)),"Falta cambio","Listo"))))</ns0:f>
      </ns0:c>
      <ns0:c r="P77" s="56"/>
      <ns0:c r="Q77" s="56"/>
      <ns0:c r="R77" s="56"/>
      <ns0:c r="S77" s="56"/>
      <ns0:c r="T77" s="56"/>
    </ns0:row>
    <ns0:row r="78" ht="23" customHeight="1">
      <ns0:c r="B78" s="113"/>
      <ns0:c r="C78" s="108"/>
      <ns0:c r="D78" s="108"/>
      <ns0:c r="E78" s="108"/>
      <ns0:c r="F78" s="108"/>
      <ns0:c r="G78" s="117"/>
      <ns0:c r="H78" s="120"/>
      <ns0:c r="I78" s="118" t="str">
        <ns0:f>IF(G78="","",IF(F78="MXN",G78,IF(AND(F78="USD",ISNUMBER(H78),H78&gt;0),ROUND(G78*H78,2),"Falta cambio")))</ns0:f>
      </ns0:c>
      <ns0:c r="J78" s="108"/>
      <ns0:c r="K78" s="108"/>
      <ns0:c r="L78" s="108"/>
      <ns0:c r="M78" s="108"/>
      <ns0:c r="N78" s="108"/>
      <ns0:c r="O78" s="110" t="str">
        <ns0:f>IF(COUNTA(B78:H78,J78:N78)=0,"",IF(OR(NOT(ISNUMBER(B78)),C78="",D78="",E78="",NOT(ISNUMBER(G78)),J78=""),"Completar datos",IF(AND(F78&lt;&gt;"MXN",F78&lt;&gt;"USD"),"Revisar moneda",IF(AND(F78="USD",OR(NOT(ISNUMBER(H78)),H78&lt;=0)),"Falta cambio","Listo"))))</ns0:f>
      </ns0:c>
      <ns0:c r="P78" s="56"/>
      <ns0:c r="Q78" s="56"/>
      <ns0:c r="R78" s="56"/>
      <ns0:c r="S78" s="56"/>
      <ns0:c r="T78" s="56"/>
    </ns0:row>
    <ns0:row r="79" ht="23" customHeight="1">
      <ns0:c r="B79" s="113"/>
      <ns0:c r="C79" s="108"/>
      <ns0:c r="D79" s="108"/>
      <ns0:c r="E79" s="108"/>
      <ns0:c r="F79" s="108"/>
      <ns0:c r="G79" s="117"/>
      <ns0:c r="H79" s="120"/>
      <ns0:c r="I79" s="118" t="str">
        <ns0:f>IF(G79="","",IF(F79="MXN",G79,IF(AND(F79="USD",ISNUMBER(H79),H79&gt;0),ROUND(G79*H79,2),"Falta cambio")))</ns0:f>
      </ns0:c>
      <ns0:c r="J79" s="108"/>
      <ns0:c r="K79" s="108"/>
      <ns0:c r="L79" s="108"/>
      <ns0:c r="M79" s="108"/>
      <ns0:c r="N79" s="108"/>
      <ns0:c r="O79" s="110" t="str">
        <ns0:f>IF(COUNTA(B79:H79,J79:N79)=0,"",IF(OR(NOT(ISNUMBER(B79)),C79="",D79="",E79="",NOT(ISNUMBER(G79)),J79=""),"Completar datos",IF(AND(F79&lt;&gt;"MXN",F79&lt;&gt;"USD"),"Revisar moneda",IF(AND(F79="USD",OR(NOT(ISNUMBER(H79)),H79&lt;=0)),"Falta cambio","Listo"))))</ns0:f>
      </ns0:c>
      <ns0:c r="P79" s="56"/>
      <ns0:c r="Q79" s="56"/>
      <ns0:c r="R79" s="56"/>
      <ns0:c r="S79" s="56"/>
      <ns0:c r="T79" s="56"/>
    </ns0:row>
    <ns0:row r="80" ht="23" customHeight="1">
      <ns0:c r="B80" s="113"/>
      <ns0:c r="C80" s="108"/>
      <ns0:c r="D80" s="108"/>
      <ns0:c r="E80" s="108"/>
      <ns0:c r="F80" s="108"/>
      <ns0:c r="G80" s="117"/>
      <ns0:c r="H80" s="120"/>
      <ns0:c r="I80" s="118" t="str">
        <ns0:f>IF(G80="","",IF(F80="MXN",G80,IF(AND(F80="USD",ISNUMBER(H80),H80&gt;0),ROUND(G80*H80,2),"Falta cambio")))</ns0:f>
      </ns0:c>
      <ns0:c r="J80" s="108"/>
      <ns0:c r="K80" s="108"/>
      <ns0:c r="L80" s="108"/>
      <ns0:c r="M80" s="108"/>
      <ns0:c r="N80" s="108"/>
      <ns0:c r="O80" s="110" t="str">
        <ns0:f>IF(COUNTA(B80:H80,J80:N80)=0,"",IF(OR(NOT(ISNUMBER(B80)),C80="",D80="",E80="",NOT(ISNUMBER(G80)),J80=""),"Completar datos",IF(AND(F80&lt;&gt;"MXN",F80&lt;&gt;"USD"),"Revisar moneda",IF(AND(F80="USD",OR(NOT(ISNUMBER(H80)),H80&lt;=0)),"Falta cambio","Listo"))))</ns0:f>
      </ns0:c>
      <ns0:c r="P80" s="56"/>
      <ns0:c r="Q80" s="56"/>
      <ns0:c r="R80" s="56"/>
      <ns0:c r="S80" s="56"/>
      <ns0:c r="T80" s="56"/>
    </ns0:row>
    <ns0:row r="81" ht="23" customHeight="1">
      <ns0:c r="B81" s="113"/>
      <ns0:c r="C81" s="108"/>
      <ns0:c r="D81" s="108"/>
      <ns0:c r="E81" s="108"/>
      <ns0:c r="F81" s="108"/>
      <ns0:c r="G81" s="117"/>
      <ns0:c r="H81" s="120"/>
      <ns0:c r="I81" s="118" t="str">
        <ns0:f>IF(G81="","",IF(F81="MXN",G81,IF(AND(F81="USD",ISNUMBER(H81),H81&gt;0),ROUND(G81*H81,2),"Falta cambio")))</ns0:f>
      </ns0:c>
      <ns0:c r="J81" s="108"/>
      <ns0:c r="K81" s="108"/>
      <ns0:c r="L81" s="108"/>
      <ns0:c r="M81" s="108"/>
      <ns0:c r="N81" s="108"/>
      <ns0:c r="O81" s="110" t="str">
        <ns0:f>IF(COUNTA(B81:H81,J81:N81)=0,"",IF(OR(NOT(ISNUMBER(B81)),C81="",D81="",E81="",NOT(ISNUMBER(G81)),J81=""),"Completar datos",IF(AND(F81&lt;&gt;"MXN",F81&lt;&gt;"USD"),"Revisar moneda",IF(AND(F81="USD",OR(NOT(ISNUMBER(H81)),H81&lt;=0)),"Falta cambio","Listo"))))</ns0:f>
      </ns0:c>
      <ns0:c r="P81" s="56"/>
      <ns0:c r="Q81" s="56"/>
      <ns0:c r="R81" s="56"/>
      <ns0:c r="S81" s="56"/>
      <ns0:c r="T81" s="56"/>
    </ns0:row>
    <ns0:row r="82" ht="23" customHeight="1">
      <ns0:c r="B82" s="113"/>
      <ns0:c r="C82" s="108"/>
      <ns0:c r="D82" s="108"/>
      <ns0:c r="E82" s="108"/>
      <ns0:c r="F82" s="108"/>
      <ns0:c r="G82" s="117"/>
      <ns0:c r="H82" s="120"/>
      <ns0:c r="I82" s="118" t="str">
        <ns0:f>IF(G82="","",IF(F82="MXN",G82,IF(AND(F82="USD",ISNUMBER(H82),H82&gt;0),ROUND(G82*H82,2),"Falta cambio")))</ns0:f>
      </ns0:c>
      <ns0:c r="J82" s="108"/>
      <ns0:c r="K82" s="108"/>
      <ns0:c r="L82" s="108"/>
      <ns0:c r="M82" s="108"/>
      <ns0:c r="N82" s="108"/>
      <ns0:c r="O82" s="110" t="str">
        <ns0:f>IF(COUNTA(B82:H82,J82:N82)=0,"",IF(OR(NOT(ISNUMBER(B82)),C82="",D82="",E82="",NOT(ISNUMBER(G82)),J82=""),"Completar datos",IF(AND(F82&lt;&gt;"MXN",F82&lt;&gt;"USD"),"Revisar moneda",IF(AND(F82="USD",OR(NOT(ISNUMBER(H82)),H82&lt;=0)),"Falta cambio","Listo"))))</ns0:f>
      </ns0:c>
      <ns0:c r="P82" s="56"/>
      <ns0:c r="Q82" s="56"/>
      <ns0:c r="R82" s="56"/>
      <ns0:c r="S82" s="56"/>
      <ns0:c r="T82" s="56"/>
    </ns0:row>
    <ns0:row r="83" ht="23" customHeight="1">
      <ns0:c r="B83" s="113"/>
      <ns0:c r="C83" s="108"/>
      <ns0:c r="D83" s="108"/>
      <ns0:c r="E83" s="108"/>
      <ns0:c r="F83" s="108"/>
      <ns0:c r="G83" s="117"/>
      <ns0:c r="H83" s="120"/>
      <ns0:c r="I83" s="118" t="str">
        <ns0:f>IF(G83="","",IF(F83="MXN",G83,IF(AND(F83="USD",ISNUMBER(H83),H83&gt;0),ROUND(G83*H83,2),"Falta cambio")))</ns0:f>
      </ns0:c>
      <ns0:c r="J83" s="108"/>
      <ns0:c r="K83" s="108"/>
      <ns0:c r="L83" s="108"/>
      <ns0:c r="M83" s="108"/>
      <ns0:c r="N83" s="108"/>
      <ns0:c r="O83" s="110" t="str">
        <ns0:f>IF(COUNTA(B83:H83,J83:N83)=0,"",IF(OR(NOT(ISNUMBER(B83)),C83="",D83="",E83="",NOT(ISNUMBER(G83)),J83=""),"Completar datos",IF(AND(F83&lt;&gt;"MXN",F83&lt;&gt;"USD"),"Revisar moneda",IF(AND(F83="USD",OR(NOT(ISNUMBER(H83)),H83&lt;=0)),"Falta cambio","Listo"))))</ns0:f>
      </ns0:c>
      <ns0:c r="P83" s="56"/>
      <ns0:c r="Q83" s="56"/>
      <ns0:c r="R83" s="56"/>
      <ns0:c r="S83" s="56"/>
      <ns0:c r="T83" s="56"/>
    </ns0:row>
    <ns0:row r="84" ht="23" customHeight="1">
      <ns0:c r="B84" s="113"/>
      <ns0:c r="C84" s="108"/>
      <ns0:c r="D84" s="108"/>
      <ns0:c r="E84" s="108"/>
      <ns0:c r="F84" s="108"/>
      <ns0:c r="G84" s="117"/>
      <ns0:c r="H84" s="120"/>
      <ns0:c r="I84" s="118" t="str">
        <ns0:f>IF(G84="","",IF(F84="MXN",G84,IF(AND(F84="USD",ISNUMBER(H84),H84&gt;0),ROUND(G84*H84,2),"Falta cambio")))</ns0:f>
      </ns0:c>
      <ns0:c r="J84" s="108"/>
      <ns0:c r="K84" s="108"/>
      <ns0:c r="L84" s="108"/>
      <ns0:c r="M84" s="108"/>
      <ns0:c r="N84" s="108"/>
      <ns0:c r="O84" s="110" t="str">
        <ns0:f>IF(COUNTA(B84:H84,J84:N84)=0,"",IF(OR(NOT(ISNUMBER(B84)),C84="",D84="",E84="",NOT(ISNUMBER(G84)),J84=""),"Completar datos",IF(AND(F84&lt;&gt;"MXN",F84&lt;&gt;"USD"),"Revisar moneda",IF(AND(F84="USD",OR(NOT(ISNUMBER(H84)),H84&lt;=0)),"Falta cambio","Listo"))))</ns0:f>
      </ns0:c>
      <ns0:c r="P84" s="56"/>
      <ns0:c r="Q84" s="56"/>
      <ns0:c r="R84" s="56"/>
      <ns0:c r="S84" s="56"/>
      <ns0:c r="T84" s="56"/>
    </ns0:row>
    <ns0:row r="85" ht="23" customHeight="1">
      <ns0:c r="B85" s="113"/>
      <ns0:c r="C85" s="108"/>
      <ns0:c r="D85" s="108"/>
      <ns0:c r="E85" s="108"/>
      <ns0:c r="F85" s="108"/>
      <ns0:c r="G85" s="117"/>
      <ns0:c r="H85" s="120"/>
      <ns0:c r="I85" s="118" t="str">
        <ns0:f>IF(G85="","",IF(F85="MXN",G85,IF(AND(F85="USD",ISNUMBER(H85),H85&gt;0),ROUND(G85*H85,2),"Falta cambio")))</ns0:f>
      </ns0:c>
      <ns0:c r="J85" s="108"/>
      <ns0:c r="K85" s="108"/>
      <ns0:c r="L85" s="108"/>
      <ns0:c r="M85" s="108"/>
      <ns0:c r="N85" s="108"/>
      <ns0:c r="O85" s="110" t="str">
        <ns0:f>IF(COUNTA(B85:H85,J85:N85)=0,"",IF(OR(NOT(ISNUMBER(B85)),C85="",D85="",E85="",NOT(ISNUMBER(G85)),J85=""),"Completar datos",IF(AND(F85&lt;&gt;"MXN",F85&lt;&gt;"USD"),"Revisar moneda",IF(AND(F85="USD",OR(NOT(ISNUMBER(H85)),H85&lt;=0)),"Falta cambio","Listo"))))</ns0:f>
      </ns0:c>
      <ns0:c r="P85" s="56"/>
      <ns0:c r="Q85" s="56"/>
      <ns0:c r="R85" s="56"/>
      <ns0:c r="S85" s="56"/>
      <ns0:c r="T85" s="56"/>
    </ns0:row>
    <ns0:row r="86" ht="23" customHeight="1">
      <ns0:c r="B86" s="113"/>
      <ns0:c r="C86" s="108"/>
      <ns0:c r="D86" s="108"/>
      <ns0:c r="E86" s="108"/>
      <ns0:c r="F86" s="108"/>
      <ns0:c r="G86" s="117"/>
      <ns0:c r="H86" s="120"/>
      <ns0:c r="I86" s="118" t="str">
        <ns0:f>IF(G86="","",IF(F86="MXN",G86,IF(AND(F86="USD",ISNUMBER(H86),H86&gt;0),ROUND(G86*H86,2),"Falta cambio")))</ns0:f>
      </ns0:c>
      <ns0:c r="J86" s="108"/>
      <ns0:c r="K86" s="108"/>
      <ns0:c r="L86" s="108"/>
      <ns0:c r="M86" s="108"/>
      <ns0:c r="N86" s="108"/>
      <ns0:c r="O86" s="110" t="str">
        <ns0:f>IF(COUNTA(B86:H86,J86:N86)=0,"",IF(OR(NOT(ISNUMBER(B86)),C86="",D86="",E86="",NOT(ISNUMBER(G86)),J86=""),"Completar datos",IF(AND(F86&lt;&gt;"MXN",F86&lt;&gt;"USD"),"Revisar moneda",IF(AND(F86="USD",OR(NOT(ISNUMBER(H86)),H86&lt;=0)),"Falta cambio","Listo"))))</ns0:f>
      </ns0:c>
      <ns0:c r="P86" s="56"/>
      <ns0:c r="Q86" s="56"/>
      <ns0:c r="R86" s="56"/>
      <ns0:c r="S86" s="56"/>
      <ns0:c r="T86" s="56"/>
    </ns0:row>
    <ns0:row r="87" ht="23" customHeight="1">
      <ns0:c r="B87" s="113"/>
      <ns0:c r="C87" s="108"/>
      <ns0:c r="D87" s="108"/>
      <ns0:c r="E87" s="108"/>
      <ns0:c r="F87" s="108"/>
      <ns0:c r="G87" s="117"/>
      <ns0:c r="H87" s="120"/>
      <ns0:c r="I87" s="118" t="str">
        <ns0:f>IF(G87="","",IF(F87="MXN",G87,IF(AND(F87="USD",ISNUMBER(H87),H87&gt;0),ROUND(G87*H87,2),"Falta cambio")))</ns0:f>
      </ns0:c>
      <ns0:c r="J87" s="108"/>
      <ns0:c r="K87" s="108"/>
      <ns0:c r="L87" s="108"/>
      <ns0:c r="M87" s="108"/>
      <ns0:c r="N87" s="108"/>
      <ns0:c r="O87" s="110" t="str">
        <ns0:f>IF(COUNTA(B87:H87,J87:N87)=0,"",IF(OR(NOT(ISNUMBER(B87)),C87="",D87="",E87="",NOT(ISNUMBER(G87)),J87=""),"Completar datos",IF(AND(F87&lt;&gt;"MXN",F87&lt;&gt;"USD"),"Revisar moneda",IF(AND(F87="USD",OR(NOT(ISNUMBER(H87)),H87&lt;=0)),"Falta cambio","Listo"))))</ns0:f>
      </ns0:c>
      <ns0:c r="P87" s="56"/>
      <ns0:c r="Q87" s="56"/>
      <ns0:c r="R87" s="56"/>
      <ns0:c r="S87" s="56"/>
      <ns0:c r="T87" s="56"/>
    </ns0:row>
    <ns0:row r="88" ht="23" customHeight="1">
      <ns0:c r="B88" s="113"/>
      <ns0:c r="C88" s="108"/>
      <ns0:c r="D88" s="108"/>
      <ns0:c r="E88" s="108"/>
      <ns0:c r="F88" s="108"/>
      <ns0:c r="G88" s="117"/>
      <ns0:c r="H88" s="120"/>
      <ns0:c r="I88" s="118" t="str">
        <ns0:f>IF(G88="","",IF(F88="MXN",G88,IF(AND(F88="USD",ISNUMBER(H88),H88&gt;0),ROUND(G88*H88,2),"Falta cambio")))</ns0:f>
      </ns0:c>
      <ns0:c r="J88" s="108"/>
      <ns0:c r="K88" s="108"/>
      <ns0:c r="L88" s="108"/>
      <ns0:c r="M88" s="108"/>
      <ns0:c r="N88" s="108"/>
      <ns0:c r="O88" s="110" t="str">
        <ns0:f>IF(COUNTA(B88:H88,J88:N88)=0,"",IF(OR(NOT(ISNUMBER(B88)),C88="",D88="",E88="",NOT(ISNUMBER(G88)),J88=""),"Completar datos",IF(AND(F88&lt;&gt;"MXN",F88&lt;&gt;"USD"),"Revisar moneda",IF(AND(F88="USD",OR(NOT(ISNUMBER(H88)),H88&lt;=0)),"Falta cambio","Listo"))))</ns0:f>
      </ns0:c>
      <ns0:c r="P88" s="56"/>
      <ns0:c r="Q88" s="56"/>
      <ns0:c r="R88" s="56"/>
      <ns0:c r="S88" s="56"/>
      <ns0:c r="T88" s="56"/>
    </ns0:row>
    <ns0:row r="89" ht="23" customHeight="1">
      <ns0:c r="B89" s="113"/>
      <ns0:c r="C89" s="108"/>
      <ns0:c r="D89" s="108"/>
      <ns0:c r="E89" s="108"/>
      <ns0:c r="F89" s="108"/>
      <ns0:c r="G89" s="117"/>
      <ns0:c r="H89" s="120"/>
      <ns0:c r="I89" s="118" t="str">
        <ns0:f>IF(G89="","",IF(F89="MXN",G89,IF(AND(F89="USD",ISNUMBER(H89),H89&gt;0),ROUND(G89*H89,2),"Falta cambio")))</ns0:f>
      </ns0:c>
      <ns0:c r="J89" s="108"/>
      <ns0:c r="K89" s="108"/>
      <ns0:c r="L89" s="108"/>
      <ns0:c r="M89" s="108"/>
      <ns0:c r="N89" s="108"/>
      <ns0:c r="O89" s="110" t="str">
        <ns0:f>IF(COUNTA(B89:H89,J89:N89)=0,"",IF(OR(NOT(ISNUMBER(B89)),C89="",D89="",E89="",NOT(ISNUMBER(G89)),J89=""),"Completar datos",IF(AND(F89&lt;&gt;"MXN",F89&lt;&gt;"USD"),"Revisar moneda",IF(AND(F89="USD",OR(NOT(ISNUMBER(H89)),H89&lt;=0)),"Falta cambio","Listo"))))</ns0:f>
      </ns0:c>
      <ns0:c r="P89" s="56"/>
      <ns0:c r="Q89" s="56"/>
      <ns0:c r="R89" s="56"/>
      <ns0:c r="S89" s="56"/>
      <ns0:c r="T89" s="56"/>
    </ns0:row>
    <ns0:row r="90" ht="23" customHeight="1">
      <ns0:c r="B90" s="113"/>
      <ns0:c r="C90" s="108"/>
      <ns0:c r="D90" s="108"/>
      <ns0:c r="E90" s="108"/>
      <ns0:c r="F90" s="108"/>
      <ns0:c r="G90" s="117"/>
      <ns0:c r="H90" s="120"/>
      <ns0:c r="I90" s="118" t="str">
        <ns0:f>IF(G90="","",IF(F90="MXN",G90,IF(AND(F90="USD",ISNUMBER(H90),H90&gt;0),ROUND(G90*H90,2),"Falta cambio")))</ns0:f>
      </ns0:c>
      <ns0:c r="J90" s="108"/>
      <ns0:c r="K90" s="108"/>
      <ns0:c r="L90" s="108"/>
      <ns0:c r="M90" s="108"/>
      <ns0:c r="N90" s="108"/>
      <ns0:c r="O90" s="110" t="str">
        <ns0:f>IF(COUNTA(B90:H90,J90:N90)=0,"",IF(OR(NOT(ISNUMBER(B90)),C90="",D90="",E90="",NOT(ISNUMBER(G90)),J90=""),"Completar datos",IF(AND(F90&lt;&gt;"MXN",F90&lt;&gt;"USD"),"Revisar moneda",IF(AND(F90="USD",OR(NOT(ISNUMBER(H90)),H90&lt;=0)),"Falta cambio","Listo"))))</ns0:f>
      </ns0:c>
      <ns0:c r="P90" s="56"/>
      <ns0:c r="Q90" s="56"/>
      <ns0:c r="R90" s="56"/>
      <ns0:c r="S90" s="56"/>
      <ns0:c r="T90" s="56"/>
    </ns0:row>
    <ns0:row r="91" ht="23" customHeight="1">
      <ns0:c r="B91" s="113"/>
      <ns0:c r="C91" s="108"/>
      <ns0:c r="D91" s="108"/>
      <ns0:c r="E91" s="108"/>
      <ns0:c r="F91" s="108"/>
      <ns0:c r="G91" s="117"/>
      <ns0:c r="H91" s="120"/>
      <ns0:c r="I91" s="118" t="str">
        <ns0:f>IF(G91="","",IF(F91="MXN",G91,IF(AND(F91="USD",ISNUMBER(H91),H91&gt;0),ROUND(G91*H91,2),"Falta cambio")))</ns0:f>
      </ns0:c>
      <ns0:c r="J91" s="108"/>
      <ns0:c r="K91" s="108"/>
      <ns0:c r="L91" s="108"/>
      <ns0:c r="M91" s="108"/>
      <ns0:c r="N91" s="108"/>
      <ns0:c r="O91" s="110" t="str">
        <ns0:f>IF(COUNTA(B91:H91,J91:N91)=0,"",IF(OR(NOT(ISNUMBER(B91)),C91="",D91="",E91="",NOT(ISNUMBER(G91)),J91=""),"Completar datos",IF(AND(F91&lt;&gt;"MXN",F91&lt;&gt;"USD"),"Revisar moneda",IF(AND(F91="USD",OR(NOT(ISNUMBER(H91)),H91&lt;=0)),"Falta cambio","Listo"))))</ns0:f>
      </ns0:c>
      <ns0:c r="P91" s="56"/>
      <ns0:c r="Q91" s="56"/>
      <ns0:c r="R91" s="56"/>
      <ns0:c r="S91" s="56"/>
      <ns0:c r="T91" s="56"/>
    </ns0:row>
    <ns0:row r="92" ht="23" customHeight="1">
      <ns0:c r="B92" s="113"/>
      <ns0:c r="C92" s="108"/>
      <ns0:c r="D92" s="108"/>
      <ns0:c r="E92" s="108"/>
      <ns0:c r="F92" s="108"/>
      <ns0:c r="G92" s="117"/>
      <ns0:c r="H92" s="120"/>
      <ns0:c r="I92" s="118" t="str">
        <ns0:f>IF(G92="","",IF(F92="MXN",G92,IF(AND(F92="USD",ISNUMBER(H92),H92&gt;0),ROUND(G92*H92,2),"Falta cambio")))</ns0:f>
      </ns0:c>
      <ns0:c r="J92" s="108"/>
      <ns0:c r="K92" s="108"/>
      <ns0:c r="L92" s="108"/>
      <ns0:c r="M92" s="108"/>
      <ns0:c r="N92" s="108"/>
      <ns0:c r="O92" s="110" t="str">
        <ns0:f>IF(COUNTA(B92:H92,J92:N92)=0,"",IF(OR(NOT(ISNUMBER(B92)),C92="",D92="",E92="",NOT(ISNUMBER(G92)),J92=""),"Completar datos",IF(AND(F92&lt;&gt;"MXN",F92&lt;&gt;"USD"),"Revisar moneda",IF(AND(F92="USD",OR(NOT(ISNUMBER(H92)),H92&lt;=0)),"Falta cambio","Listo"))))</ns0:f>
      </ns0:c>
      <ns0:c r="P92" s="56"/>
      <ns0:c r="Q92" s="56"/>
      <ns0:c r="R92" s="56"/>
      <ns0:c r="S92" s="56"/>
      <ns0:c r="T92" s="56"/>
    </ns0:row>
    <ns0:row r="93" ht="23" customHeight="1">
      <ns0:c r="B93" s="113"/>
      <ns0:c r="C93" s="108"/>
      <ns0:c r="D93" s="108"/>
      <ns0:c r="E93" s="108"/>
      <ns0:c r="F93" s="108"/>
      <ns0:c r="G93" s="117"/>
      <ns0:c r="H93" s="120"/>
      <ns0:c r="I93" s="118" t="str">
        <ns0:f>IF(G93="","",IF(F93="MXN",G93,IF(AND(F93="USD",ISNUMBER(H93),H93&gt;0),ROUND(G93*H93,2),"Falta cambio")))</ns0:f>
      </ns0:c>
      <ns0:c r="J93" s="108"/>
      <ns0:c r="K93" s="108"/>
      <ns0:c r="L93" s="108"/>
      <ns0:c r="M93" s="108"/>
      <ns0:c r="N93" s="108"/>
      <ns0:c r="O93" s="110" t="str">
        <ns0:f>IF(COUNTA(B93:H93,J93:N93)=0,"",IF(OR(NOT(ISNUMBER(B93)),C93="",D93="",E93="",NOT(ISNUMBER(G93)),J93=""),"Completar datos",IF(AND(F93&lt;&gt;"MXN",F93&lt;&gt;"USD"),"Revisar moneda",IF(AND(F93="USD",OR(NOT(ISNUMBER(H93)),H93&lt;=0)),"Falta cambio","Listo"))))</ns0:f>
      </ns0:c>
      <ns0:c r="P93" s="56"/>
      <ns0:c r="Q93" s="56"/>
      <ns0:c r="R93" s="56"/>
      <ns0:c r="S93" s="56"/>
      <ns0:c r="T93" s="56"/>
    </ns0:row>
    <ns0:row r="94" ht="23" customHeight="1">
      <ns0:c r="B94" s="113"/>
      <ns0:c r="C94" s="108"/>
      <ns0:c r="D94" s="108"/>
      <ns0:c r="E94" s="108"/>
      <ns0:c r="F94" s="108"/>
      <ns0:c r="G94" s="117"/>
      <ns0:c r="H94" s="120"/>
      <ns0:c r="I94" s="118" t="str">
        <ns0:f>IF(G94="","",IF(F94="MXN",G94,IF(AND(F94="USD",ISNUMBER(H94),H94&gt;0),ROUND(G94*H94,2),"Falta cambio")))</ns0:f>
      </ns0:c>
      <ns0:c r="J94" s="108"/>
      <ns0:c r="K94" s="108"/>
      <ns0:c r="L94" s="108"/>
      <ns0:c r="M94" s="108"/>
      <ns0:c r="N94" s="108"/>
      <ns0:c r="O94" s="110" t="str">
        <ns0:f>IF(COUNTA(B94:H94,J94:N94)=0,"",IF(OR(NOT(ISNUMBER(B94)),C94="",D94="",E94="",NOT(ISNUMBER(G94)),J94=""),"Completar datos",IF(AND(F94&lt;&gt;"MXN",F94&lt;&gt;"USD"),"Revisar moneda",IF(AND(F94="USD",OR(NOT(ISNUMBER(H94)),H94&lt;=0)),"Falta cambio","Listo"))))</ns0:f>
      </ns0:c>
      <ns0:c r="P94" s="56"/>
      <ns0:c r="Q94" s="56"/>
      <ns0:c r="R94" s="56"/>
      <ns0:c r="S94" s="56"/>
      <ns0:c r="T94" s="56"/>
    </ns0:row>
    <ns0:row r="95" ht="23" customHeight="1">
      <ns0:c r="B95" s="113"/>
      <ns0:c r="C95" s="108"/>
      <ns0:c r="D95" s="108"/>
      <ns0:c r="E95" s="108"/>
      <ns0:c r="F95" s="108"/>
      <ns0:c r="G95" s="117"/>
      <ns0:c r="H95" s="120"/>
      <ns0:c r="I95" s="118" t="str">
        <ns0:f>IF(G95="","",IF(F95="MXN",G95,IF(AND(F95="USD",ISNUMBER(H95),H95&gt;0),ROUND(G95*H95,2),"Falta cambio")))</ns0:f>
      </ns0:c>
      <ns0:c r="J95" s="108"/>
      <ns0:c r="K95" s="108"/>
      <ns0:c r="L95" s="108"/>
      <ns0:c r="M95" s="108"/>
      <ns0:c r="N95" s="108"/>
      <ns0:c r="O95" s="110" t="str">
        <ns0:f>IF(COUNTA(B95:H95,J95:N95)=0,"",IF(OR(NOT(ISNUMBER(B95)),C95="",D95="",E95="",NOT(ISNUMBER(G95)),J95=""),"Completar datos",IF(AND(F95&lt;&gt;"MXN",F95&lt;&gt;"USD"),"Revisar moneda",IF(AND(F95="USD",OR(NOT(ISNUMBER(H95)),H95&lt;=0)),"Falta cambio","Listo"))))</ns0:f>
      </ns0:c>
      <ns0:c r="P95" s="56"/>
      <ns0:c r="Q95" s="56"/>
      <ns0:c r="R95" s="56"/>
      <ns0:c r="S95" s="56"/>
      <ns0:c r="T95" s="56"/>
    </ns0:row>
    <ns0:row r="96" ht="23" customHeight="1">
      <ns0:c r="B96" s="113"/>
      <ns0:c r="C96" s="108"/>
      <ns0:c r="D96" s="108"/>
      <ns0:c r="E96" s="108"/>
      <ns0:c r="F96" s="108"/>
      <ns0:c r="G96" s="117"/>
      <ns0:c r="H96" s="120"/>
      <ns0:c r="I96" s="118" t="str">
        <ns0:f>IF(G96="","",IF(F96="MXN",G96,IF(AND(F96="USD",ISNUMBER(H96),H96&gt;0),ROUND(G96*H96,2),"Falta cambio")))</ns0:f>
      </ns0:c>
      <ns0:c r="J96" s="108"/>
      <ns0:c r="K96" s="108"/>
      <ns0:c r="L96" s="108"/>
      <ns0:c r="M96" s="108"/>
      <ns0:c r="N96" s="108"/>
      <ns0:c r="O96" s="110" t="str">
        <ns0:f>IF(COUNTA(B96:H96,J96:N96)=0,"",IF(OR(NOT(ISNUMBER(B96)),C96="",D96="",E96="",NOT(ISNUMBER(G96)),J96=""),"Completar datos",IF(AND(F96&lt;&gt;"MXN",F96&lt;&gt;"USD"),"Revisar moneda",IF(AND(F96="USD",OR(NOT(ISNUMBER(H96)),H96&lt;=0)),"Falta cambio","Listo"))))</ns0:f>
      </ns0:c>
      <ns0:c r="P96" s="56"/>
      <ns0:c r="Q96" s="56"/>
      <ns0:c r="R96" s="56"/>
      <ns0:c r="S96" s="56"/>
      <ns0:c r="T96" s="56"/>
    </ns0:row>
    <ns0:row r="97" ht="23" customHeight="1">
      <ns0:c r="B97" s="113"/>
      <ns0:c r="C97" s="108"/>
      <ns0:c r="D97" s="108"/>
      <ns0:c r="E97" s="108"/>
      <ns0:c r="F97" s="108"/>
      <ns0:c r="G97" s="117"/>
      <ns0:c r="H97" s="120"/>
      <ns0:c r="I97" s="118" t="str">
        <ns0:f>IF(G97="","",IF(F97="MXN",G97,IF(AND(F97="USD",ISNUMBER(H97),H97&gt;0),ROUND(G97*H97,2),"Falta cambio")))</ns0:f>
      </ns0:c>
      <ns0:c r="J97" s="108"/>
      <ns0:c r="K97" s="108"/>
      <ns0:c r="L97" s="108"/>
      <ns0:c r="M97" s="108"/>
      <ns0:c r="N97" s="108"/>
      <ns0:c r="O97" s="110" t="str">
        <ns0:f>IF(COUNTA(B97:H97,J97:N97)=0,"",IF(OR(NOT(ISNUMBER(B97)),C97="",D97="",E97="",NOT(ISNUMBER(G97)),J97=""),"Completar datos",IF(AND(F97&lt;&gt;"MXN",F97&lt;&gt;"USD"),"Revisar moneda",IF(AND(F97="USD",OR(NOT(ISNUMBER(H97)),H97&lt;=0)),"Falta cambio","Listo"))))</ns0:f>
      </ns0:c>
      <ns0:c r="P97" s="56"/>
      <ns0:c r="Q97" s="56"/>
      <ns0:c r="R97" s="56"/>
      <ns0:c r="S97" s="56"/>
      <ns0:c r="T97" s="56"/>
    </ns0:row>
    <ns0:row r="98" ht="23" customHeight="1">
      <ns0:c r="B98" s="113"/>
      <ns0:c r="C98" s="108"/>
      <ns0:c r="D98" s="108"/>
      <ns0:c r="E98" s="108"/>
      <ns0:c r="F98" s="108"/>
      <ns0:c r="G98" s="117"/>
      <ns0:c r="H98" s="120"/>
      <ns0:c r="I98" s="118" t="str">
        <ns0:f>IF(G98="","",IF(F98="MXN",G98,IF(AND(F98="USD",ISNUMBER(H98),H98&gt;0),ROUND(G98*H98,2),"Falta cambio")))</ns0:f>
      </ns0:c>
      <ns0:c r="J98" s="108"/>
      <ns0:c r="K98" s="108"/>
      <ns0:c r="L98" s="108"/>
      <ns0:c r="M98" s="108"/>
      <ns0:c r="N98" s="108"/>
      <ns0:c r="O98" s="110" t="str">
        <ns0:f>IF(COUNTA(B98:H98,J98:N98)=0,"",IF(OR(NOT(ISNUMBER(B98)),C98="",D98="",E98="",NOT(ISNUMBER(G98)),J98=""),"Completar datos",IF(AND(F98&lt;&gt;"MXN",F98&lt;&gt;"USD"),"Revisar moneda",IF(AND(F98="USD",OR(NOT(ISNUMBER(H98)),H98&lt;=0)),"Falta cambio","Listo"))))</ns0:f>
      </ns0:c>
      <ns0:c r="P98" s="56"/>
      <ns0:c r="Q98" s="56"/>
      <ns0:c r="R98" s="56"/>
      <ns0:c r="S98" s="56"/>
      <ns0:c r="T98" s="56"/>
    </ns0:row>
    <ns0:row r="99" ht="23" customHeight="1">
      <ns0:c r="B99" s="113"/>
      <ns0:c r="C99" s="108"/>
      <ns0:c r="D99" s="108"/>
      <ns0:c r="E99" s="108"/>
      <ns0:c r="F99" s="108"/>
      <ns0:c r="G99" s="117"/>
      <ns0:c r="H99" s="120"/>
      <ns0:c r="I99" s="118" t="str">
        <ns0:f>IF(G99="","",IF(F99="MXN",G99,IF(AND(F99="USD",ISNUMBER(H99),H99&gt;0),ROUND(G99*H99,2),"Falta cambio")))</ns0:f>
      </ns0:c>
      <ns0:c r="J99" s="108"/>
      <ns0:c r="K99" s="108"/>
      <ns0:c r="L99" s="108"/>
      <ns0:c r="M99" s="108"/>
      <ns0:c r="N99" s="108"/>
      <ns0:c r="O99" s="110" t="str">
        <ns0:f>IF(COUNTA(B99:H99,J99:N99)=0,"",IF(OR(NOT(ISNUMBER(B99)),C99="",D99="",E99="",NOT(ISNUMBER(G99)),J99=""),"Completar datos",IF(AND(F99&lt;&gt;"MXN",F99&lt;&gt;"USD"),"Revisar moneda",IF(AND(F99="USD",OR(NOT(ISNUMBER(H99)),H99&lt;=0)),"Falta cambio","Listo"))))</ns0:f>
      </ns0:c>
      <ns0:c r="P99" s="56"/>
      <ns0:c r="Q99" s="56"/>
      <ns0:c r="R99" s="56"/>
      <ns0:c r="S99" s="56"/>
      <ns0:c r="T99" s="56"/>
    </ns0:row>
    <ns0:row r="100" ht="23" customHeight="1">
      <ns0:c r="B100" s="113"/>
      <ns0:c r="C100" s="108"/>
      <ns0:c r="D100" s="108"/>
      <ns0:c r="E100" s="108"/>
      <ns0:c r="F100" s="108"/>
      <ns0:c r="G100" s="117"/>
      <ns0:c r="H100" s="120"/>
      <ns0:c r="I100" s="118" t="str">
        <ns0:f>IF(G100="","",IF(F100="MXN",G100,IF(AND(F100="USD",ISNUMBER(H100),H100&gt;0),ROUND(G100*H100,2),"Falta cambio")))</ns0:f>
      </ns0:c>
      <ns0:c r="J100" s="108"/>
      <ns0:c r="K100" s="108"/>
      <ns0:c r="L100" s="108"/>
      <ns0:c r="M100" s="108"/>
      <ns0:c r="N100" s="108"/>
      <ns0:c r="O100" s="110" t="str">
        <ns0:f>IF(COUNTA(B100:H100,J100:N100)=0,"",IF(OR(NOT(ISNUMBER(B100)),C100="",D100="",E100="",NOT(ISNUMBER(G100)),J100=""),"Completar datos",IF(AND(F100&lt;&gt;"MXN",F100&lt;&gt;"USD"),"Revisar moneda",IF(AND(F100="USD",OR(NOT(ISNUMBER(H100)),H100&lt;=0)),"Falta cambio","Listo"))))</ns0:f>
      </ns0:c>
      <ns0:c r="P100" s="56"/>
      <ns0:c r="Q100" s="56"/>
      <ns0:c r="R100" s="56"/>
      <ns0:c r="S100" s="56"/>
      <ns0:c r="T100" s="56"/>
    </ns0:row>
    <ns0:row r="101" ht="23" customHeight="1">
      <ns0:c r="B101" s="113"/>
      <ns0:c r="C101" s="108"/>
      <ns0:c r="D101" s="108"/>
      <ns0:c r="E101" s="108"/>
      <ns0:c r="F101" s="108"/>
      <ns0:c r="G101" s="117"/>
      <ns0:c r="H101" s="120"/>
      <ns0:c r="I101" s="118" t="str">
        <ns0:f>IF(G101="","",IF(F101="MXN",G101,IF(AND(F101="USD",ISNUMBER(H101),H101&gt;0),ROUND(G101*H101,2),"Falta cambio")))</ns0:f>
      </ns0:c>
      <ns0:c r="J101" s="108"/>
      <ns0:c r="K101" s="108"/>
      <ns0:c r="L101" s="108"/>
      <ns0:c r="M101" s="108"/>
      <ns0:c r="N101" s="108"/>
      <ns0:c r="O101" s="110" t="str">
        <ns0:f>IF(COUNTA(B101:H101,J101:N101)=0,"",IF(OR(NOT(ISNUMBER(B101)),C101="",D101="",E101="",NOT(ISNUMBER(G101)),J101=""),"Completar datos",IF(AND(F101&lt;&gt;"MXN",F101&lt;&gt;"USD"),"Revisar moneda",IF(AND(F101="USD",OR(NOT(ISNUMBER(H101)),H101&lt;=0)),"Falta cambio","Listo"))))</ns0:f>
      </ns0:c>
      <ns0:c r="P101" s="56"/>
      <ns0:c r="Q101" s="56"/>
      <ns0:c r="R101" s="56"/>
      <ns0:c r="S101" s="56"/>
      <ns0:c r="T101" s="56"/>
    </ns0:row>
    <ns0:row r="102" ht="23" customHeight="1">
      <ns0:c r="B102" s="113"/>
      <ns0:c r="C102" s="108"/>
      <ns0:c r="D102" s="108"/>
      <ns0:c r="E102" s="108"/>
      <ns0:c r="F102" s="108"/>
      <ns0:c r="G102" s="117"/>
      <ns0:c r="H102" s="120"/>
      <ns0:c r="I102" s="118" t="str">
        <ns0:f>IF(G102="","",IF(F102="MXN",G102,IF(AND(F102="USD",ISNUMBER(H102),H102&gt;0),ROUND(G102*H102,2),"Falta cambio")))</ns0:f>
      </ns0:c>
      <ns0:c r="J102" s="108"/>
      <ns0:c r="K102" s="108"/>
      <ns0:c r="L102" s="108"/>
      <ns0:c r="M102" s="108"/>
      <ns0:c r="N102" s="108"/>
      <ns0:c r="O102" s="110" t="str">
        <ns0:f>IF(COUNTA(B102:H102,J102:N102)=0,"",IF(OR(NOT(ISNUMBER(B102)),C102="",D102="",E102="",NOT(ISNUMBER(G102)),J102=""),"Completar datos",IF(AND(F102&lt;&gt;"MXN",F102&lt;&gt;"USD"),"Revisar moneda",IF(AND(F102="USD",OR(NOT(ISNUMBER(H102)),H102&lt;=0)),"Falta cambio","Listo"))))</ns0:f>
      </ns0:c>
      <ns0:c r="P102" s="56"/>
      <ns0:c r="Q102" s="56"/>
      <ns0:c r="R102" s="56"/>
      <ns0:c r="S102" s="56"/>
      <ns0:c r="T102" s="56"/>
    </ns0:row>
    <ns0:row r="103" ht="23" customHeight="1">
      <ns0:c r="B103" s="113"/>
      <ns0:c r="C103" s="108"/>
      <ns0:c r="D103" s="108"/>
      <ns0:c r="E103" s="108"/>
      <ns0:c r="F103" s="108"/>
      <ns0:c r="G103" s="117"/>
      <ns0:c r="H103" s="120"/>
      <ns0:c r="I103" s="118" t="str">
        <ns0:f>IF(G103="","",IF(F103="MXN",G103,IF(AND(F103="USD",ISNUMBER(H103),H103&gt;0),ROUND(G103*H103,2),"Falta cambio")))</ns0:f>
      </ns0:c>
      <ns0:c r="J103" s="108"/>
      <ns0:c r="K103" s="108"/>
      <ns0:c r="L103" s="108"/>
      <ns0:c r="M103" s="108"/>
      <ns0:c r="N103" s="108"/>
      <ns0:c r="O103" s="110" t="str">
        <ns0:f>IF(COUNTA(B103:H103,J103:N103)=0,"",IF(OR(NOT(ISNUMBER(B103)),C103="",D103="",E103="",NOT(ISNUMBER(G103)),J103=""),"Completar datos",IF(AND(F103&lt;&gt;"MXN",F103&lt;&gt;"USD"),"Revisar moneda",IF(AND(F103="USD",OR(NOT(ISNUMBER(H103)),H103&lt;=0)),"Falta cambio","Listo"))))</ns0:f>
      </ns0:c>
      <ns0:c r="P103" s="56"/>
      <ns0:c r="Q103" s="56"/>
      <ns0:c r="R103" s="56"/>
      <ns0:c r="S103" s="56"/>
      <ns0:c r="T103" s="56"/>
    </ns0:row>
    <ns0:row r="104" ht="23" customHeight="1">
      <ns0:c r="B104" s="113"/>
      <ns0:c r="C104" s="108"/>
      <ns0:c r="D104" s="108"/>
      <ns0:c r="E104" s="108"/>
      <ns0:c r="F104" s="108"/>
      <ns0:c r="G104" s="117"/>
      <ns0:c r="H104" s="120"/>
      <ns0:c r="I104" s="118" t="str">
        <ns0:f>IF(G104="","",IF(F104="MXN",G104,IF(AND(F104="USD",ISNUMBER(H104),H104&gt;0),ROUND(G104*H104,2),"Falta cambio")))</ns0:f>
      </ns0:c>
      <ns0:c r="J104" s="108"/>
      <ns0:c r="K104" s="108"/>
      <ns0:c r="L104" s="108"/>
      <ns0:c r="M104" s="108"/>
      <ns0:c r="N104" s="108"/>
      <ns0:c r="O104" s="110" t="str">
        <ns0:f>IF(COUNTA(B104:H104,J104:N104)=0,"",IF(OR(NOT(ISNUMBER(B104)),C104="",D104="",E104="",NOT(ISNUMBER(G104)),J104=""),"Completar datos",IF(AND(F104&lt;&gt;"MXN",F104&lt;&gt;"USD"),"Revisar moneda",IF(AND(F104="USD",OR(NOT(ISNUMBER(H104)),H104&lt;=0)),"Falta cambio","Listo"))))</ns0:f>
      </ns0:c>
      <ns0:c r="P104" s="56"/>
      <ns0:c r="Q104" s="56"/>
      <ns0:c r="R104" s="56"/>
      <ns0:c r="S104" s="56"/>
      <ns0:c r="T104" s="56"/>
    </ns0:row>
    <ns0:row r="105" ht="23" customHeight="1">
      <ns0:c r="B105" s="113"/>
      <ns0:c r="C105" s="108"/>
      <ns0:c r="D105" s="108"/>
      <ns0:c r="E105" s="108"/>
      <ns0:c r="F105" s="108"/>
      <ns0:c r="G105" s="117"/>
      <ns0:c r="H105" s="120"/>
      <ns0:c r="I105" s="118" t="str">
        <ns0:f>IF(G105="","",IF(F105="MXN",G105,IF(AND(F105="USD",ISNUMBER(H105),H105&gt;0),ROUND(G105*H105,2),"Falta cambio")))</ns0:f>
      </ns0:c>
      <ns0:c r="J105" s="108"/>
      <ns0:c r="K105" s="108"/>
      <ns0:c r="L105" s="108"/>
      <ns0:c r="M105" s="108"/>
      <ns0:c r="N105" s="108"/>
      <ns0:c r="O105" s="110" t="str">
        <ns0:f>IF(COUNTA(B105:H105,J105:N105)=0,"",IF(OR(NOT(ISNUMBER(B105)),C105="",D105="",E105="",NOT(ISNUMBER(G105)),J105=""),"Completar datos",IF(AND(F105&lt;&gt;"MXN",F105&lt;&gt;"USD"),"Revisar moneda",IF(AND(F105="USD",OR(NOT(ISNUMBER(H105)),H105&lt;=0)),"Falta cambio","Listo"))))</ns0:f>
      </ns0:c>
      <ns0:c r="P105" s="56"/>
      <ns0:c r="Q105" s="56"/>
      <ns0:c r="R105" s="56"/>
      <ns0:c r="S105" s="56"/>
      <ns0:c r="T105" s="56"/>
    </ns0:row>
    <ns0:row r="106" ht="23" customHeight="1">
      <ns0:c r="B106" s="113"/>
      <ns0:c r="C106" s="108"/>
      <ns0:c r="D106" s="108"/>
      <ns0:c r="E106" s="108"/>
      <ns0:c r="F106" s="108"/>
      <ns0:c r="G106" s="117"/>
      <ns0:c r="H106" s="120"/>
      <ns0:c r="I106" s="118" t="str">
        <ns0:f>IF(G106="","",IF(F106="MXN",G106,IF(AND(F106="USD",ISNUMBER(H106),H106&gt;0),ROUND(G106*H106,2),"Falta cambio")))</ns0:f>
      </ns0:c>
      <ns0:c r="J106" s="108"/>
      <ns0:c r="K106" s="108"/>
      <ns0:c r="L106" s="108"/>
      <ns0:c r="M106" s="108"/>
      <ns0:c r="N106" s="108"/>
      <ns0:c r="O106" s="110" t="str">
        <ns0:f>IF(COUNTA(B106:H106,J106:N106)=0,"",IF(OR(NOT(ISNUMBER(B106)),C106="",D106="",E106="",NOT(ISNUMBER(G106)),J106=""),"Completar datos",IF(AND(F106&lt;&gt;"MXN",F106&lt;&gt;"USD"),"Revisar moneda",IF(AND(F106="USD",OR(NOT(ISNUMBER(H106)),H106&lt;=0)),"Falta cambio","Listo"))))</ns0:f>
      </ns0:c>
      <ns0:c r="P106" s="56"/>
      <ns0:c r="Q106" s="56"/>
      <ns0:c r="R106" s="56"/>
      <ns0:c r="S106" s="56"/>
      <ns0:c r="T106" s="56"/>
    </ns0:row>
    <ns0:row r="107" ht="23" customHeight="1">
      <ns0:c r="B107" s="113"/>
      <ns0:c r="C107" s="108"/>
      <ns0:c r="D107" s="108"/>
      <ns0:c r="E107" s="108"/>
      <ns0:c r="F107" s="108"/>
      <ns0:c r="G107" s="117"/>
      <ns0:c r="H107" s="120"/>
      <ns0:c r="I107" s="118" t="str">
        <ns0:f>IF(G107="","",IF(F107="MXN",G107,IF(AND(F107="USD",ISNUMBER(H107),H107&gt;0),ROUND(G107*H107,2),"Falta cambio")))</ns0:f>
      </ns0:c>
      <ns0:c r="J107" s="108"/>
      <ns0:c r="K107" s="108"/>
      <ns0:c r="L107" s="108"/>
      <ns0:c r="M107" s="108"/>
      <ns0:c r="N107" s="108"/>
      <ns0:c r="O107" s="110" t="str">
        <ns0:f>IF(COUNTA(B107:H107,J107:N107)=0,"",IF(OR(NOT(ISNUMBER(B107)),C107="",D107="",E107="",NOT(ISNUMBER(G107)),J107=""),"Completar datos",IF(AND(F107&lt;&gt;"MXN",F107&lt;&gt;"USD"),"Revisar moneda",IF(AND(F107="USD",OR(NOT(ISNUMBER(H107)),H107&lt;=0)),"Falta cambio","Listo"))))</ns0:f>
      </ns0:c>
      <ns0:c r="P107" s="56"/>
      <ns0:c r="Q107" s="56"/>
      <ns0:c r="R107" s="56"/>
      <ns0:c r="S107" s="56"/>
      <ns0:c r="T107" s="56"/>
    </ns0:row>
    <ns0:row r="108" ht="23" customHeight="1">
      <ns0:c r="B108" s="113"/>
      <ns0:c r="C108" s="108"/>
      <ns0:c r="D108" s="108"/>
      <ns0:c r="E108" s="108"/>
      <ns0:c r="F108" s="108"/>
      <ns0:c r="G108" s="117"/>
      <ns0:c r="H108" s="120"/>
      <ns0:c r="I108" s="118" t="str">
        <ns0:f>IF(G108="","",IF(F108="MXN",G108,IF(AND(F108="USD",ISNUMBER(H108),H108&gt;0),ROUND(G108*H108,2),"Falta cambio")))</ns0:f>
      </ns0:c>
      <ns0:c r="J108" s="108"/>
      <ns0:c r="K108" s="108"/>
      <ns0:c r="L108" s="108"/>
      <ns0:c r="M108" s="108"/>
      <ns0:c r="N108" s="108"/>
      <ns0:c r="O108" s="110" t="str">
        <ns0:f>IF(COUNTA(B108:H108,J108:N108)=0,"",IF(OR(NOT(ISNUMBER(B108)),C108="",D108="",E108="",NOT(ISNUMBER(G108)),J108=""),"Completar datos",IF(AND(F108&lt;&gt;"MXN",F108&lt;&gt;"USD"),"Revisar moneda",IF(AND(F108="USD",OR(NOT(ISNUMBER(H108)),H108&lt;=0)),"Falta cambio","Listo"))))</ns0:f>
      </ns0:c>
      <ns0:c r="P108" s="56"/>
      <ns0:c r="Q108" s="56"/>
      <ns0:c r="R108" s="56"/>
      <ns0:c r="S108" s="56"/>
      <ns0:c r="T108" s="56"/>
    </ns0:row>
    <ns0:row r="109" ht="23" customHeight="1">
      <ns0:c r="B109" s="113"/>
      <ns0:c r="C109" s="108"/>
      <ns0:c r="D109" s="108"/>
      <ns0:c r="E109" s="108"/>
      <ns0:c r="F109" s="108"/>
      <ns0:c r="G109" s="117"/>
      <ns0:c r="H109" s="120"/>
      <ns0:c r="I109" s="118" t="str">
        <ns0:f>IF(G109="","",IF(F109="MXN",G109,IF(AND(F109="USD",ISNUMBER(H109),H109&gt;0),ROUND(G109*H109,2),"Falta cambio")))</ns0:f>
      </ns0:c>
      <ns0:c r="J109" s="108"/>
      <ns0:c r="K109" s="108"/>
      <ns0:c r="L109" s="108"/>
      <ns0:c r="M109" s="108"/>
      <ns0:c r="N109" s="108"/>
      <ns0:c r="O109" s="110" t="str">
        <ns0:f>IF(COUNTA(B109:H109,J109:N109)=0,"",IF(OR(NOT(ISNUMBER(B109)),C109="",D109="",E109="",NOT(ISNUMBER(G109)),J109=""),"Completar datos",IF(AND(F109&lt;&gt;"MXN",F109&lt;&gt;"USD"),"Revisar moneda",IF(AND(F109="USD",OR(NOT(ISNUMBER(H109)),H109&lt;=0)),"Falta cambio","Listo"))))</ns0:f>
      </ns0:c>
      <ns0:c r="P109" s="56"/>
      <ns0:c r="Q109" s="56"/>
      <ns0:c r="R109" s="56"/>
      <ns0:c r="S109" s="56"/>
      <ns0:c r="T109" s="56"/>
    </ns0:row>
    <ns0:row r="110" ht="23" customHeight="1">
      <ns0:c r="B110" s="113"/>
      <ns0:c r="C110" s="108"/>
      <ns0:c r="D110" s="108"/>
      <ns0:c r="E110" s="108"/>
      <ns0:c r="F110" s="108"/>
      <ns0:c r="G110" s="117"/>
      <ns0:c r="H110" s="120"/>
      <ns0:c r="I110" s="118" t="str">
        <ns0:f>IF(G110="","",IF(F110="MXN",G110,IF(AND(F110="USD",ISNUMBER(H110),H110&gt;0),ROUND(G110*H110,2),"Falta cambio")))</ns0:f>
      </ns0:c>
      <ns0:c r="J110" s="108"/>
      <ns0:c r="K110" s="108"/>
      <ns0:c r="L110" s="108"/>
      <ns0:c r="M110" s="108"/>
      <ns0:c r="N110" s="108"/>
      <ns0:c r="O110" s="110" t="str">
        <ns0:f>IF(COUNTA(B110:H110,J110:N110)=0,"",IF(OR(NOT(ISNUMBER(B110)),C110="",D110="",E110="",NOT(ISNUMBER(G110)),J110=""),"Completar datos",IF(AND(F110&lt;&gt;"MXN",F110&lt;&gt;"USD"),"Revisar moneda",IF(AND(F110="USD",OR(NOT(ISNUMBER(H110)),H110&lt;=0)),"Falta cambio","Listo"))))</ns0:f>
      </ns0:c>
      <ns0:c r="P110" s="56"/>
      <ns0:c r="Q110" s="56"/>
      <ns0:c r="R110" s="56"/>
      <ns0:c r="S110" s="56"/>
      <ns0:c r="T110" s="56"/>
    </ns0:row>
    <ns0:row r="111" ht="23" customHeight="1">
      <ns0:c r="B111" s="113"/>
      <ns0:c r="C111" s="108"/>
      <ns0:c r="D111" s="108"/>
      <ns0:c r="E111" s="108"/>
      <ns0:c r="F111" s="108"/>
      <ns0:c r="G111" s="117"/>
      <ns0:c r="H111" s="120"/>
      <ns0:c r="I111" s="118" t="str">
        <ns0:f>IF(G111="","",IF(F111="MXN",G111,IF(AND(F111="USD",ISNUMBER(H111),H111&gt;0),ROUND(G111*H111,2),"Falta cambio")))</ns0:f>
      </ns0:c>
      <ns0:c r="J111" s="108"/>
      <ns0:c r="K111" s="108"/>
      <ns0:c r="L111" s="108"/>
      <ns0:c r="M111" s="108"/>
      <ns0:c r="N111" s="108"/>
      <ns0:c r="O111" s="110" t="str">
        <ns0:f>IF(COUNTA(B111:H111,J111:N111)=0,"",IF(OR(NOT(ISNUMBER(B111)),C111="",D111="",E111="",NOT(ISNUMBER(G111)),J111=""),"Completar datos",IF(AND(F111&lt;&gt;"MXN",F111&lt;&gt;"USD"),"Revisar moneda",IF(AND(F111="USD",OR(NOT(ISNUMBER(H111)),H111&lt;=0)),"Falta cambio","Listo"))))</ns0:f>
      </ns0:c>
      <ns0:c r="P111" s="56"/>
      <ns0:c r="Q111" s="56"/>
      <ns0:c r="R111" s="56"/>
      <ns0:c r="S111" s="56"/>
      <ns0:c r="T111" s="56"/>
    </ns0:row>
    <ns0:row r="112" ht="23" customHeight="1">
      <ns0:c r="B112" s="113"/>
      <ns0:c r="C112" s="108"/>
      <ns0:c r="D112" s="108"/>
      <ns0:c r="E112" s="108"/>
      <ns0:c r="F112" s="108"/>
      <ns0:c r="G112" s="117"/>
      <ns0:c r="H112" s="120"/>
      <ns0:c r="I112" s="118" t="str">
        <ns0:f>IF(G112="","",IF(F112="MXN",G112,IF(AND(F112="USD",ISNUMBER(H112),H112&gt;0),ROUND(G112*H112,2),"Falta cambio")))</ns0:f>
      </ns0:c>
      <ns0:c r="J112" s="108"/>
      <ns0:c r="K112" s="108"/>
      <ns0:c r="L112" s="108"/>
      <ns0:c r="M112" s="108"/>
      <ns0:c r="N112" s="108"/>
      <ns0:c r="O112" s="110" t="str">
        <ns0:f>IF(COUNTA(B112:H112,J112:N112)=0,"",IF(OR(NOT(ISNUMBER(B112)),C112="",D112="",E112="",NOT(ISNUMBER(G112)),J112=""),"Completar datos",IF(AND(F112&lt;&gt;"MXN",F112&lt;&gt;"USD"),"Revisar moneda",IF(AND(F112="USD",OR(NOT(ISNUMBER(H112)),H112&lt;=0)),"Falta cambio","Listo"))))</ns0:f>
      </ns0:c>
      <ns0:c r="P112" s="56"/>
      <ns0:c r="Q112" s="56"/>
      <ns0:c r="R112" s="56"/>
      <ns0:c r="S112" s="56"/>
      <ns0:c r="T112" s="56"/>
    </ns0:row>
    <ns0:row r="113" ht="23" customHeight="1">
      <ns0:c r="B113" s="113"/>
      <ns0:c r="C113" s="108"/>
      <ns0:c r="D113" s="108"/>
      <ns0:c r="E113" s="108"/>
      <ns0:c r="F113" s="108"/>
      <ns0:c r="G113" s="117"/>
      <ns0:c r="H113" s="120"/>
      <ns0:c r="I113" s="118" t="str">
        <ns0:f>IF(G113="","",IF(F113="MXN",G113,IF(AND(F113="USD",ISNUMBER(H113),H113&gt;0),ROUND(G113*H113,2),"Falta cambio")))</ns0:f>
      </ns0:c>
      <ns0:c r="J113" s="108"/>
      <ns0:c r="K113" s="108"/>
      <ns0:c r="L113" s="108"/>
      <ns0:c r="M113" s="108"/>
      <ns0:c r="N113" s="108"/>
      <ns0:c r="O113" s="110" t="str">
        <ns0:f>IF(COUNTA(B113:H113,J113:N113)=0,"",IF(OR(NOT(ISNUMBER(B113)),C113="",D113="",E113="",NOT(ISNUMBER(G113)),J113=""),"Completar datos",IF(AND(F113&lt;&gt;"MXN",F113&lt;&gt;"USD"),"Revisar moneda",IF(AND(F113="USD",OR(NOT(ISNUMBER(H113)),H113&lt;=0)),"Falta cambio","Listo"))))</ns0:f>
      </ns0:c>
      <ns0:c r="P113" s="56"/>
      <ns0:c r="Q113" s="56"/>
      <ns0:c r="R113" s="56"/>
      <ns0:c r="S113" s="56"/>
      <ns0:c r="T113" s="56"/>
    </ns0:row>
    <ns0:row r="114" ht="23" customHeight="1">
      <ns0:c r="B114" s="113"/>
      <ns0:c r="C114" s="108"/>
      <ns0:c r="D114" s="108"/>
      <ns0:c r="E114" s="108"/>
      <ns0:c r="F114" s="108"/>
      <ns0:c r="G114" s="117"/>
      <ns0:c r="H114" s="120"/>
      <ns0:c r="I114" s="118" t="str">
        <ns0:f>IF(G114="","",IF(F114="MXN",G114,IF(AND(F114="USD",ISNUMBER(H114),H114&gt;0),ROUND(G114*H114,2),"Falta cambio")))</ns0:f>
      </ns0:c>
      <ns0:c r="J114" s="108"/>
      <ns0:c r="K114" s="108"/>
      <ns0:c r="L114" s="108"/>
      <ns0:c r="M114" s="108"/>
      <ns0:c r="N114" s="108"/>
      <ns0:c r="O114" s="110" t="str">
        <ns0:f>IF(COUNTA(B114:H114,J114:N114)=0,"",IF(OR(NOT(ISNUMBER(B114)),C114="",D114="",E114="",NOT(ISNUMBER(G114)),J114=""),"Completar datos",IF(AND(F114&lt;&gt;"MXN",F114&lt;&gt;"USD"),"Revisar moneda",IF(AND(F114="USD",OR(NOT(ISNUMBER(H114)),H114&lt;=0)),"Falta cambio","Listo"))))</ns0:f>
      </ns0:c>
      <ns0:c r="P114" s="56"/>
      <ns0:c r="Q114" s="56"/>
      <ns0:c r="R114" s="56"/>
      <ns0:c r="S114" s="56"/>
      <ns0:c r="T114" s="56"/>
    </ns0:row>
    <ns0:row r="115" ht="23" customHeight="1">
      <ns0:c r="B115" s="113"/>
      <ns0:c r="C115" s="108"/>
      <ns0:c r="D115" s="108"/>
      <ns0:c r="E115" s="108"/>
      <ns0:c r="F115" s="108"/>
      <ns0:c r="G115" s="117"/>
      <ns0:c r="H115" s="120"/>
      <ns0:c r="I115" s="118" t="str">
        <ns0:f>IF(G115="","",IF(F115="MXN",G115,IF(AND(F115="USD",ISNUMBER(H115),H115&gt;0),ROUND(G115*H115,2),"Falta cambio")))</ns0:f>
      </ns0:c>
      <ns0:c r="J115" s="108"/>
      <ns0:c r="K115" s="108"/>
      <ns0:c r="L115" s="108"/>
      <ns0:c r="M115" s="108"/>
      <ns0:c r="N115" s="108"/>
      <ns0:c r="O115" s="110" t="str">
        <ns0:f>IF(COUNTA(B115:H115,J115:N115)=0,"",IF(OR(NOT(ISNUMBER(B115)),C115="",D115="",E115="",NOT(ISNUMBER(G115)),J115=""),"Completar datos",IF(AND(F115&lt;&gt;"MXN",F115&lt;&gt;"USD"),"Revisar moneda",IF(AND(F115="USD",OR(NOT(ISNUMBER(H115)),H115&lt;=0)),"Falta cambio","Listo"))))</ns0:f>
      </ns0:c>
      <ns0:c r="P115" s="56"/>
      <ns0:c r="Q115" s="56"/>
      <ns0:c r="R115" s="56"/>
      <ns0:c r="S115" s="56"/>
      <ns0:c r="T115" s="56"/>
    </ns0:row>
    <ns0:row r="116" ht="13.5" customHeight="1"/>
    <ns0:row r="117" ht="13.5" customHeight="1"/>
    <ns0:row r="118" ht="13.5" customHeight="1"/>
    <ns0:row r="119" ht="13.5" customHeight="1"/>
    <ns0:row r="120" ht="13.5" customHeight="1"/>
    <ns0:row r="121" ht="13.5" customHeight="1"/>
    <ns0:row r="122" ht="13.5" customHeight="1"/>
    <ns0:row r="123" ht="13.5" customHeight="1"/>
    <ns0:row r="124" ht="13.5" customHeight="1"/>
    <ns0:row r="125" ht="13.5" customHeight="1"/>
    <ns0:row r="126" ht="13.5" customHeight="1"/>
    <ns0:row r="127" ht="13.5" customHeight="1"/>
    <ns0:row r="128" ht="13.5" customHeight="1"/>
    <ns0:row r="129" ht="13.5" customHeight="1"/>
    <ns0:row r="130" ht="13.5" customHeight="1"/>
    <ns0:row r="131" ht="13.5" customHeight="1"/>
    <ns0:row r="132" ht="13.5" customHeight="1"/>
    <ns0:row r="133" ht="13.5" customHeight="1"/>
    <ns0:row r="134" ht="13.5" customHeight="1"/>
    <ns0:row r="135" ht="13.5" customHeight="1"/>
    <ns0:row r="136" ht="13.5" customHeight="1"/>
    <ns0:row r="137" ht="13.5" customHeight="1"/>
    <ns0:row r="138" ht="13.5" customHeight="1"/>
    <ns0:row r="139" ht="13.5" customHeight="1"/>
    <ns0:row r="140" ht="13.5" customHeight="1"/>
    <ns0:row r="141" ht="13.5" customHeight="1"/>
    <ns0:row r="142" ht="13.5" customHeight="1"/>
    <ns0:row r="143" ht="13.5" customHeight="1"/>
    <ns0:row r="144" ht="13.5" customHeight="1"/>
    <ns0:row r="145" ht="13.5" customHeight="1"/>
    <ns0:row r="146" ht="13.5" customHeight="1"/>
    <ns0:row r="147" ht="13.5" customHeight="1"/>
    <ns0:row r="148" ht="13.5" customHeight="1"/>
    <ns0:row r="149" ht="13.5" customHeight="1"/>
    <ns0:row r="150" ht="13.5" customHeight="1"/>
    <ns0:row r="151" ht="13.5" customHeight="1"/>
    <ns0:row r="152" ht="13.5" customHeight="1"/>
    <ns0:row r="153" ht="13.5" customHeight="1"/>
    <ns0:row r="154" ht="13.5" customHeight="1"/>
    <ns0:row r="155" ht="13.5" customHeight="1"/>
    <ns0:row r="156" ht="13.5" customHeight="1"/>
    <ns0:row r="157" ht="13.5" customHeight="1"/>
    <ns0:row r="158" ht="13.5" customHeight="1"/>
    <ns0:row r="159" ht="13.5" customHeight="1"/>
    <ns0:row r="160" ht="13.5" customHeight="1"/>
    <ns0:row r="161" ht="13.5" customHeight="1"/>
    <ns0:row r="162" ht="13.5" customHeight="1"/>
    <ns0:row r="163" ht="13.5" customHeight="1"/>
    <ns0:row r="164" ht="13.5" customHeight="1"/>
    <ns0:row r="165" ht="13.5" customHeight="1"/>
    <ns0:row r="166" ht="13.5" customHeight="1"/>
    <ns0:row r="167" ht="13.5" customHeight="1"/>
    <ns0:row r="168" ht="13.5" customHeight="1"/>
    <ns0:row r="169" ht="13.5" customHeight="1"/>
    <ns0:row r="170" ht="13.5" customHeight="1"/>
    <ns0:row r="171" ht="13.5" customHeight="1"/>
    <ns0:row r="172" ht="13.5" customHeight="1"/>
    <ns0:row r="173" ht="13.5" customHeight="1"/>
    <ns0:row r="174" ht="13.5" customHeight="1"/>
    <ns0:row r="175" ht="13.5" customHeight="1"/>
    <ns0:row r="176" ht="13.5" customHeight="1"/>
    <ns0:row r="177" ht="13.5" customHeight="1"/>
    <ns0:row r="178" ht="13.5" customHeight="1"/>
    <ns0:row r="179" ht="13.5" customHeight="1"/>
    <ns0:row r="180" ht="13.5" customHeight="1"/>
    <ns0:row r="181" ht="13.5" customHeight="1"/>
    <ns0:row r="182" ht="13.5" customHeight="1"/>
    <ns0:row r="183" ht="13.5" customHeight="1"/>
    <ns0:row r="184" ht="13.5" customHeight="1"/>
    <ns0:row r="185" ht="13.5" customHeight="1"/>
    <ns0:row r="186" ht="13.5" customHeight="1"/>
    <ns0:row r="187" ht="13.5" customHeight="1"/>
    <ns0:row r="188" ht="13.5" customHeight="1"/>
    <ns0:row r="189" ht="13.5" customHeight="1"/>
    <ns0:row r="190" ht="13.5" customHeight="1"/>
    <ns0:row r="191" ht="13.5" customHeight="1"/>
    <ns0:row r="192" ht="13.5" customHeight="1"/>
    <ns0:row r="193" ht="13.5" customHeight="1"/>
    <ns0:row r="194" ht="13.5" customHeight="1"/>
    <ns0:row r="195" ht="13.5" customHeight="1"/>
    <ns0:row r="196" ht="13.5" customHeight="1"/>
    <ns0:row r="197" ht="13.5" customHeight="1"/>
    <ns0:row r="198" ht="13.5" customHeight="1"/>
    <ns0:row r="199" ht="13.5" customHeight="1"/>
    <ns0:row r="200" ht="13.5" customHeight="1"/>
    <ns0:row r="201" ht="13.5" customHeight="1"/>
    <ns0:row r="202" ht="13.5" customHeight="1"/>
    <ns0:row r="203" ht="13.5" customHeight="1"/>
    <ns0:row r="204" ht="13.5" customHeight="1"/>
    <ns0:row r="205" ht="13.5" customHeight="1"/>
    <ns0:row r="206" ht="13.5" customHeight="1"/>
    <ns0:row r="207" ht="13.5" customHeight="1"/>
    <ns0:row r="208" ht="13.5" customHeight="1"/>
    <ns0:row r="209" ht="13.5" customHeight="1"/>
    <ns0:row r="210" ht="13.5" customHeight="1"/>
    <ns0:row r="211" ht="13.5" customHeight="1"/>
    <ns0:row r="212" ht="13.5" customHeight="1"/>
    <ns0:row r="213" ht="13.5" customHeight="1"/>
    <ns0:row r="214" ht="13.5" customHeight="1"/>
    <ns0:row r="215" ht="13.5" customHeight="1"/>
    <ns0:row r="216" ht="13.5" customHeight="1"/>
    <ns0:row r="217" ht="13.5" customHeight="1"/>
    <ns0:row r="218" ht="13.5" customHeight="1"/>
    <ns0:row r="219" ht="13.5" customHeight="1"/>
    <ns0:row r="220" ht="13.5" customHeight="1"/>
    <ns0:row r="221" ht="13.5" customHeight="1"/>
    <ns0:row r="222" ht="13.5" customHeight="1"/>
    <ns0:row r="223" ht="13.5" customHeight="1"/>
    <ns0:row r="224" ht="13.5" customHeight="1"/>
    <ns0:row r="225" ht="13.5" customHeight="1"/>
    <ns0:row r="226" ht="13.5" customHeight="1"/>
    <ns0:row r="227" ht="13.5" customHeight="1"/>
    <ns0:row r="228" ht="13.5" customHeight="1"/>
    <ns0:row r="229" ht="13.5" customHeight="1"/>
    <ns0:row r="230" ht="13.5" customHeight="1"/>
    <ns0:row r="231" ht="13.5" customHeight="1"/>
    <ns0:row r="232" ht="13.5" customHeight="1"/>
    <ns0:row r="233" ht="13.5" customHeight="1"/>
    <ns0:row r="234" ht="13.5" customHeight="1"/>
    <ns0:row r="235" ht="13.5" customHeight="1"/>
    <ns0:row r="236" ht="13.5" customHeight="1"/>
    <ns0:row r="237" ht="13.5" customHeight="1"/>
    <ns0:row r="238" ht="13.5" customHeight="1"/>
    <ns0:row r="239" ht="13.5" customHeight="1"/>
    <ns0:row r="240" ht="13.5" customHeight="1"/>
    <ns0:row r="241" ht="13.5" customHeight="1"/>
    <ns0:row r="242" ht="13.5" customHeight="1"/>
    <ns0:row r="243" ht="13.5" customHeight="1"/>
    <ns0:row r="244" ht="13.5" customHeight="1"/>
    <ns0:row r="245" ht="13.5" customHeight="1"/>
    <ns0:row r="246" ht="13.5" customHeight="1"/>
    <ns0:row r="247" ht="13.5" customHeight="1"/>
    <ns0:row r="248" ht="13.5" customHeight="1"/>
    <ns0:row r="249" ht="13.5" customHeight="1"/>
    <ns0:row r="250" ht="13.5" customHeight="1"/>
    <ns0:row r="251" ht="13.5" customHeight="1"/>
    <ns0:row r="252" ht="13.5" customHeight="1"/>
    <ns0:row r="253" ht="13.5" customHeight="1"/>
    <ns0:row r="254" ht="13.5" customHeight="1"/>
    <ns0:row r="255" ht="13.5" customHeight="1"/>
    <ns0:row r="256" ht="13.5" customHeight="1"/>
    <ns0:row r="257" ht="13.5" customHeight="1"/>
    <ns0:row r="258" ht="13.5" customHeight="1"/>
    <ns0:row r="259" ht="13.5" customHeight="1"/>
    <ns0:row r="260" ht="13.5" customHeight="1"/>
    <ns0:row r="261" ht="13.5" customHeight="1"/>
    <ns0:row r="262" ht="13.5" customHeight="1"/>
    <ns0:row r="263" ht="13.5" customHeight="1"/>
    <ns0:row r="264" ht="13.5" customHeight="1"/>
    <ns0:row r="265" ht="13.5" customHeight="1"/>
    <ns0:row r="266" ht="13.5" customHeight="1"/>
    <ns0:row r="267" ht="13.5" customHeight="1"/>
    <ns0:row r="268" ht="13.5" customHeight="1"/>
    <ns0:row r="269" ht="13.5" customHeight="1"/>
    <ns0:row r="270" ht="13.5" customHeight="1"/>
    <ns0:row r="271" ht="13.5" customHeight="1"/>
    <ns0:row r="272" ht="13.5" customHeight="1"/>
    <ns0:row r="273" ht="13.5" customHeight="1"/>
    <ns0:row r="274" ht="13.5" customHeight="1"/>
    <ns0:row r="275" ht="13.5" customHeight="1"/>
    <ns0:row r="276" ht="13.5" customHeight="1"/>
    <ns0:row r="277" ht="13.5" customHeight="1"/>
    <ns0:row r="278" ht="13.5" customHeight="1"/>
    <ns0:row r="279" ht="13.5" customHeight="1"/>
    <ns0:row r="280" ht="13.5" customHeight="1"/>
    <ns0:row r="281" ht="13.5" customHeight="1"/>
    <ns0:row r="282" ht="13.5" customHeight="1"/>
    <ns0:row r="283" ht="13.5" customHeight="1"/>
    <ns0:row r="284" ht="13.5" customHeight="1"/>
    <ns0:row r="285" ht="13.5" customHeight="1"/>
    <ns0:row r="286" ht="13.5" customHeight="1"/>
    <ns0:row r="287" ht="13.5" customHeight="1"/>
    <ns0:row r="288" ht="13.5" customHeight="1"/>
    <ns0:row r="289" ht="13.5" customHeight="1"/>
    <ns0:row r="290" ht="13.5" customHeight="1"/>
    <ns0:row r="291" ht="13.5" customHeight="1"/>
    <ns0:row r="292" ht="13.5" customHeight="1"/>
    <ns0:row r="293" ht="13.5" customHeight="1"/>
    <ns0:row r="294" ht="13.5" customHeight="1"/>
    <ns0:row r="295" ht="13.5" customHeight="1"/>
    <ns0:row r="296" ht="13.5" customHeight="1"/>
    <ns0:row r="297" ht="13.5" customHeight="1"/>
    <ns0:row r="298" ht="13.5" customHeight="1"/>
    <ns0:row r="299" ht="13.5" customHeight="1"/>
    <ns0:row r="300" ht="13.5" customHeight="1"/>
    <ns0:row r="301" ht="13.5" customHeight="1"/>
    <ns0:row r="302" ht="13.5" customHeight="1"/>
    <ns0:row r="303" ht="13.5" customHeight="1"/>
    <ns0:row r="304" ht="13.5" customHeight="1"/>
    <ns0:row r="305" ht="13.5" customHeight="1"/>
    <ns0:row r="306" ht="13.5" customHeight="1"/>
    <ns0:row r="307" ht="13.5" customHeight="1"/>
    <ns0:row r="308" ht="13.5" customHeight="1"/>
    <ns0:row r="309" ht="13.5" customHeight="1"/>
    <ns0:row r="310" ht="13.5" customHeight="1"/>
    <ns0:row r="311" ht="13.5" customHeight="1"/>
    <ns0:row r="312" ht="13.5" customHeight="1"/>
    <ns0:row r="313" ht="13.5" customHeight="1"/>
    <ns0:row r="314" ht="13.5" customHeight="1"/>
    <ns0:row r="315" ht="13.5" customHeight="1"/>
    <ns0:row r="316" ht="13.5" customHeight="1"/>
    <ns0:row r="317" ht="13.5" customHeight="1"/>
    <ns0:row r="318" ht="13.5" customHeight="1"/>
    <ns0:row r="319" ht="13.5" customHeight="1"/>
    <ns0:row r="320" ht="13.5" customHeight="1"/>
    <ns0:row r="321" ht="13.5" customHeight="1"/>
    <ns0:row r="322" ht="13.5" customHeight="1"/>
    <ns0:row r="323" ht="13.5" customHeight="1"/>
    <ns0:row r="324" ht="13.5" customHeight="1"/>
    <ns0:row r="325" ht="13.5" customHeight="1"/>
    <ns0:row r="326" ht="13.5" customHeight="1"/>
    <ns0:row r="327" ht="13.5" customHeight="1"/>
    <ns0:row r="328" ht="13.5" customHeight="1"/>
    <ns0:row r="329" ht="13.5" customHeight="1"/>
    <ns0:row r="330" ht="13.5" customHeight="1"/>
    <ns0:row r="331" ht="13.5" customHeight="1"/>
    <ns0:row r="332" ht="13.5" customHeight="1"/>
    <ns0:row r="333" ht="13.5" customHeight="1"/>
    <ns0:row r="334" ht="13.5" customHeight="1"/>
    <ns0:row r="335" ht="13.5" customHeight="1"/>
    <ns0:row r="336" ht="13.5" customHeight="1"/>
    <ns0:row r="337" ht="13.5" customHeight="1"/>
    <ns0:row r="338" ht="13.5" customHeight="1"/>
    <ns0:row r="339" ht="13.5" customHeight="1"/>
    <ns0:row r="340" ht="13.5" customHeight="1"/>
    <ns0:row r="341" ht="13.5" customHeight="1"/>
    <ns0:row r="342" ht="13.5" customHeight="1"/>
    <ns0:row r="343" ht="13.5" customHeight="1"/>
    <ns0:row r="344" ht="13.5" customHeight="1"/>
    <ns0:row r="345" ht="13.5" customHeight="1"/>
    <ns0:row r="346" ht="13.5" customHeight="1"/>
    <ns0:row r="347" ht="13.5" customHeight="1"/>
    <ns0:row r="348" ht="13.5" customHeight="1"/>
    <ns0:row r="349" ht="13.5" customHeight="1"/>
    <ns0:row r="350" ht="13.5" customHeight="1"/>
    <ns0:row r="351" ht="13.5" customHeight="1"/>
    <ns0:row r="352" ht="13.5" customHeight="1"/>
    <ns0:row r="353" ht="13.5" customHeight="1"/>
    <ns0:row r="354" ht="13.5" customHeight="1"/>
    <ns0:row r="355" ht="13.5" customHeight="1"/>
    <ns0:row r="356" ht="13.5" customHeight="1"/>
    <ns0:row r="357" ht="13.5" customHeight="1"/>
    <ns0:row r="358" ht="13.5" customHeight="1"/>
    <ns0:row r="359" ht="13.5" customHeight="1"/>
    <ns0:row r="360" ht="13.5" customHeight="1"/>
    <ns0:row r="361" ht="13.5" customHeight="1"/>
    <ns0:row r="362" ht="13.5" customHeight="1"/>
    <ns0:row r="363" ht="13.5" customHeight="1"/>
    <ns0:row r="364" ht="13.5" customHeight="1"/>
    <ns0:row r="365" ht="13.5" customHeight="1"/>
    <ns0:row r="366" ht="13.5" customHeight="1"/>
    <ns0:row r="367" ht="13.5" customHeight="1"/>
    <ns0:row r="368" ht="13.5" customHeight="1"/>
    <ns0:row r="369" ht="13.5" customHeight="1"/>
    <ns0:row r="370" ht="13.5" customHeight="1"/>
    <ns0:row r="371" ht="13.5" customHeight="1"/>
    <ns0:row r="372" ht="13.5" customHeight="1"/>
    <ns0:row r="373" ht="13.5" customHeight="1"/>
    <ns0:row r="374" ht="13.5" customHeight="1"/>
    <ns0:row r="375" ht="13.5" customHeight="1"/>
    <ns0:row r="376" ht="13.5" customHeight="1"/>
    <ns0:row r="377" ht="13.5" customHeight="1"/>
    <ns0:row r="378" ht="13.5" customHeight="1"/>
    <ns0:row r="379" ht="13.5" customHeight="1"/>
    <ns0:row r="380" ht="13.5" customHeight="1"/>
    <ns0:row r="381" ht="13.5" customHeight="1"/>
    <ns0:row r="382" ht="13.5" customHeight="1"/>
    <ns0:row r="383" ht="13.5" customHeight="1"/>
    <ns0:row r="384" ht="13.5" customHeight="1"/>
    <ns0:row r="385" ht="13.5" customHeight="1"/>
    <ns0:row r="386" ht="13.5" customHeight="1"/>
    <ns0:row r="387" ht="13.5" customHeight="1"/>
    <ns0:row r="388" ht="13.5" customHeight="1"/>
    <ns0:row r="389" ht="13.5" customHeight="1"/>
    <ns0:row r="390" ht="13.5" customHeight="1"/>
    <ns0:row r="391" ht="13.5" customHeight="1"/>
    <ns0:row r="392" ht="13.5" customHeight="1"/>
    <ns0:row r="393" ht="13.5" customHeight="1"/>
    <ns0:row r="394" ht="13.5" customHeight="1"/>
    <ns0:row r="395" ht="13.5" customHeight="1"/>
    <ns0:row r="396" ht="13.5" customHeight="1"/>
    <ns0:row r="397" ht="13.5" customHeight="1"/>
    <ns0:row r="398" ht="13.5" customHeight="1"/>
    <ns0:row r="399" ht="13.5" customHeight="1"/>
    <ns0:row r="400" ht="13.5" customHeight="1"/>
    <ns0:row r="401" ht="13.5" customHeight="1"/>
    <ns0:row r="402" ht="13.5" customHeight="1"/>
    <ns0:row r="403" ht="13.5" customHeight="1"/>
    <ns0:row r="404" ht="13.5" customHeight="1"/>
    <ns0:row r="405" ht="13.5" customHeight="1"/>
    <ns0:row r="406" ht="13.5" customHeight="1"/>
    <ns0:row r="407" ht="13.5" customHeight="1"/>
    <ns0:row r="408" ht="13.5" customHeight="1"/>
    <ns0:row r="409" ht="13.5" customHeight="1"/>
    <ns0:row r="410" ht="13.5" customHeight="1"/>
    <ns0:row r="411" ht="13.5" customHeight="1"/>
    <ns0:row r="412" ht="13.5" customHeight="1"/>
    <ns0:row r="413" ht="13.5" customHeight="1"/>
    <ns0:row r="414" ht="13.5" customHeight="1"/>
    <ns0:row r="415" ht="13.5" customHeight="1"/>
    <ns0:row r="416" ht="13.5" customHeight="1"/>
    <ns0:row r="417" ht="13.5" customHeight="1"/>
    <ns0:row r="418" ht="13.5" customHeight="1"/>
    <ns0:row r="419" ht="13.5" customHeight="1"/>
    <ns0:row r="420" ht="13.5" customHeight="1"/>
    <ns0:row r="421" ht="13.5" customHeight="1"/>
    <ns0:row r="422" ht="13.5" customHeight="1"/>
    <ns0:row r="423" ht="13.5" customHeight="1"/>
    <ns0:row r="424" ht="13.5" customHeight="1"/>
    <ns0:row r="425" ht="13.5" customHeight="1"/>
    <ns0:row r="426" ht="13.5" customHeight="1"/>
    <ns0:row r="427" ht="13.5" customHeight="1"/>
    <ns0:row r="428" ht="13.5" customHeight="1"/>
    <ns0:row r="429" ht="13.5" customHeight="1"/>
    <ns0:row r="430" ht="13.5" customHeight="1"/>
    <ns0:row r="431" ht="13.5" customHeight="1"/>
    <ns0:row r="432" ht="13.5" customHeight="1"/>
    <ns0:row r="433" ht="13.5" customHeight="1"/>
    <ns0:row r="434" ht="13.5" customHeight="1"/>
    <ns0:row r="435" ht="13.5" customHeight="1"/>
    <ns0:row r="436" ht="13.5" customHeight="1"/>
    <ns0:row r="437" ht="13.5" customHeight="1"/>
    <ns0:row r="438" ht="13.5" customHeight="1"/>
    <ns0:row r="439" ht="13.5" customHeight="1"/>
    <ns0:row r="440" ht="13.5" customHeight="1"/>
    <ns0:row r="441" ht="13.5" customHeight="1"/>
    <ns0:row r="442" ht="13.5" customHeight="1"/>
    <ns0:row r="443" ht="13.5" customHeight="1"/>
    <ns0:row r="444" ht="13.5" customHeight="1"/>
    <ns0:row r="445" ht="13.5" customHeight="1"/>
    <ns0:row r="446" ht="13.5" customHeight="1"/>
    <ns0:row r="447" ht="13.5" customHeight="1"/>
    <ns0:row r="448" ht="13.5" customHeight="1"/>
    <ns0:row r="449" ht="13.5" customHeight="1"/>
    <ns0:row r="450" ht="13.5" customHeight="1"/>
    <ns0:row r="451" ht="13.5" customHeight="1"/>
    <ns0:row r="452" ht="13.5" customHeight="1"/>
    <ns0:row r="453" ht="13.5" customHeight="1"/>
    <ns0:row r="454" ht="13.5" customHeight="1"/>
    <ns0:row r="455" ht="13.5" customHeight="1"/>
    <ns0:row r="456" ht="13.5" customHeight="1"/>
    <ns0:row r="457" ht="13.5" customHeight="1"/>
    <ns0:row r="458" ht="13.5" customHeight="1"/>
    <ns0:row r="459" ht="13.5" customHeight="1"/>
    <ns0:row r="460" ht="13.5" customHeight="1"/>
    <ns0:row r="461" ht="13.5" customHeight="1"/>
    <ns0:row r="462" ht="13.5" customHeight="1"/>
    <ns0:row r="463" ht="13.5" customHeight="1"/>
    <ns0:row r="464" ht="13.5" customHeight="1"/>
    <ns0:row r="465" ht="13.5" customHeight="1"/>
    <ns0:row r="466" ht="13.5" customHeight="1"/>
    <ns0:row r="467" ht="13.5" customHeight="1"/>
    <ns0:row r="468" ht="13.5" customHeight="1"/>
    <ns0:row r="469" ht="13.5" customHeight="1"/>
    <ns0:row r="470" ht="13.5" customHeight="1"/>
    <ns0:row r="471" ht="13.5" customHeight="1"/>
    <ns0:row r="472" ht="13.5" customHeight="1"/>
    <ns0:row r="473" ht="13.5" customHeight="1"/>
    <ns0:row r="474" ht="13.5" customHeight="1"/>
    <ns0:row r="475" ht="13.5" customHeight="1"/>
    <ns0:row r="476" ht="13.5" customHeight="1"/>
    <ns0:row r="477" ht="13.5" customHeight="1"/>
    <ns0:row r="478" ht="13.5" customHeight="1"/>
    <ns0:row r="479" ht="13.5" customHeight="1"/>
    <ns0:row r="480" ht="13.5" customHeight="1"/>
    <ns0:row r="481" ht="13.5" customHeight="1"/>
    <ns0:row r="482" ht="13.5" customHeight="1"/>
    <ns0:row r="483" ht="13.5" customHeight="1"/>
    <ns0:row r="484" ht="13.5" customHeight="1"/>
    <ns0:row r="485" ht="13.5" customHeight="1"/>
    <ns0:row r="486" ht="13.5" customHeight="1"/>
    <ns0:row r="487" ht="13.5" customHeight="1"/>
    <ns0:row r="488" ht="13.5" customHeight="1"/>
    <ns0:row r="489" ht="13.5" customHeight="1"/>
    <ns0:row r="490" ht="13.5" customHeight="1"/>
    <ns0:row r="491" ht="13.5" customHeight="1"/>
    <ns0:row r="492" ht="13.5" customHeight="1"/>
    <ns0:row r="493" ht="13.5" customHeight="1"/>
    <ns0:row r="494" ht="13.5" customHeight="1"/>
    <ns0:row r="495" ht="13.5" customHeight="1"/>
    <ns0:row r="496" ht="13.5" customHeight="1"/>
    <ns0:row r="497" ht="13.5" customHeight="1"/>
    <ns0:row r="498" ht="13.5" customHeight="1"/>
    <ns0:row r="499" ht="13.5" customHeight="1"/>
    <ns0:row r="500" ht="13.5" customHeight="1"/>
    <ns0:row r="501" ht="13.5" customHeight="1"/>
    <ns0:row r="502" ht="13.5" customHeight="1"/>
    <ns0:row r="503" ht="13.5" customHeight="1"/>
    <ns0:row r="504" ht="13.5" customHeight="1"/>
    <ns0:row r="505" ht="13.5" customHeight="1"/>
    <ns0:row r="506" ht="13.5" customHeight="1"/>
    <ns0:row r="507" ht="13.5" customHeight="1"/>
    <ns0:row r="508" ht="13.5" customHeight="1"/>
    <ns0:row r="509" ht="13.5" customHeight="1"/>
    <ns0:row r="510" ht="13.5" customHeight="1"/>
    <ns0:row r="511" ht="13.5" customHeight="1"/>
    <ns0:row r="512" ht="13.5" customHeight="1"/>
    <ns0:row r="513" ht="13.5" customHeight="1"/>
    <ns0:row r="514" ht="13.5" customHeight="1"/>
    <ns0:row r="515" ht="13.5" customHeight="1"/>
    <ns0:row r="516" ht="13.5" customHeight="1"/>
    <ns0:row r="517" ht="13.5" customHeight="1"/>
    <ns0:row r="518" ht="13.5" customHeight="1"/>
    <ns0:row r="519" ht="13.5" customHeight="1"/>
    <ns0:row r="520" ht="13.5" customHeight="1"/>
    <ns0:row r="521" ht="13.5" customHeight="1"/>
    <ns0:row r="522" ht="13.5" customHeight="1"/>
    <ns0:row r="523" ht="13.5" customHeight="1"/>
    <ns0:row r="524" ht="13.5" customHeight="1"/>
    <ns0:row r="525" ht="13.5" customHeight="1"/>
    <ns0:row r="526" ht="13.5" customHeight="1"/>
    <ns0:row r="527" ht="13.5" customHeight="1"/>
    <ns0:row r="528" ht="13.5" customHeight="1"/>
    <ns0:row r="529" ht="13.5" customHeight="1"/>
    <ns0:row r="530" ht="13.5" customHeight="1"/>
    <ns0:row r="531" ht="13.5" customHeight="1"/>
    <ns0:row r="532" ht="13.5" customHeight="1"/>
    <ns0:row r="533" ht="13.5" customHeight="1"/>
    <ns0:row r="534" ht="13.5" customHeight="1"/>
    <ns0:row r="535" ht="13.5" customHeight="1"/>
    <ns0:row r="536" ht="13.5" customHeight="1"/>
    <ns0:row r="537" ht="13.5" customHeight="1"/>
    <ns0:row r="538" ht="13.5" customHeight="1"/>
    <ns0:row r="539" ht="13.5" customHeight="1"/>
    <ns0:row r="540" ht="13.5" customHeight="1"/>
    <ns0:row r="541" ht="13.5" customHeight="1"/>
    <ns0:row r="542" ht="13.5" customHeight="1"/>
    <ns0:row r="543" ht="13.5" customHeight="1"/>
    <ns0:row r="544" ht="13.5" customHeight="1"/>
    <ns0:row r="545" ht="13.5" customHeight="1"/>
    <ns0:row r="546" ht="13.5" customHeight="1"/>
    <ns0:row r="547" ht="13.5" customHeight="1"/>
    <ns0:row r="548" ht="13.5" customHeight="1"/>
    <ns0:row r="549" ht="13.5" customHeight="1"/>
    <ns0:row r="550" ht="13.5" customHeight="1"/>
    <ns0:row r="551" ht="13.5" customHeight="1"/>
    <ns0:row r="552" ht="13.5" customHeight="1"/>
    <ns0:row r="553" ht="13.5" customHeight="1"/>
    <ns0:row r="554" ht="13.5" customHeight="1"/>
    <ns0:row r="555" ht="13.5" customHeight="1"/>
    <ns0:row r="556" ht="13.5" customHeight="1"/>
    <ns0:row r="557" ht="13.5" customHeight="1"/>
    <ns0:row r="558" ht="13.5" customHeight="1"/>
    <ns0:row r="559" ht="13.5" customHeight="1"/>
    <ns0:row r="560" ht="13.5" customHeight="1"/>
    <ns0:row r="561" ht="13.5" customHeight="1"/>
    <ns0:row r="562" ht="13.5" customHeight="1"/>
    <ns0:row r="563" ht="13.5" customHeight="1"/>
    <ns0:row r="564" ht="13.5" customHeight="1"/>
    <ns0:row r="565" ht="13.5" customHeight="1"/>
    <ns0:row r="566" ht="13.5" customHeight="1"/>
    <ns0:row r="567" ht="13.5" customHeight="1"/>
    <ns0:row r="568" ht="13.5" customHeight="1"/>
    <ns0:row r="569" ht="13.5" customHeight="1"/>
    <ns0:row r="570" ht="13.5" customHeight="1"/>
    <ns0:row r="571" ht="13.5" customHeight="1"/>
    <ns0:row r="572" ht="13.5" customHeight="1"/>
    <ns0:row r="573" ht="13.5" customHeight="1"/>
    <ns0:row r="574" ht="13.5" customHeight="1"/>
    <ns0:row r="575" ht="13.5" customHeight="1"/>
    <ns0:row r="576" ht="13.5" customHeight="1"/>
    <ns0:row r="577" ht="13.5" customHeight="1"/>
    <ns0:row r="578" ht="13.5" customHeight="1"/>
    <ns0:row r="579" ht="13.5" customHeight="1"/>
    <ns0:row r="580" ht="13.5" customHeight="1"/>
    <ns0:row r="581" ht="13.5" customHeight="1"/>
    <ns0:row r="582" ht="13.5" customHeight="1"/>
    <ns0:row r="583" ht="13.5" customHeight="1"/>
    <ns0:row r="584" ht="13.5" customHeight="1"/>
    <ns0:row r="585" ht="13.5" customHeight="1"/>
    <ns0:row r="586" ht="13.5" customHeight="1"/>
    <ns0:row r="587" ht="13.5" customHeight="1"/>
    <ns0:row r="588" ht="13.5" customHeight="1"/>
    <ns0:row r="589" ht="13.5" customHeight="1"/>
    <ns0:row r="590" ht="13.5" customHeight="1"/>
    <ns0:row r="591" ht="13.5" customHeight="1"/>
    <ns0:row r="592" ht="13.5" customHeight="1"/>
    <ns0:row r="593" ht="13.5" customHeight="1"/>
    <ns0:row r="594" ht="13.5" customHeight="1"/>
    <ns0:row r="595" ht="13.5" customHeight="1"/>
    <ns0:row r="596" ht="13.5" customHeight="1"/>
    <ns0:row r="597" ht="13.5" customHeight="1"/>
    <ns0:row r="598" ht="13.5" customHeight="1"/>
    <ns0:row r="599" ht="13.5" customHeight="1"/>
    <ns0:row r="600" ht="13.5" customHeight="1"/>
    <ns0:row r="601" ht="13.5" customHeight="1"/>
    <ns0:row r="602" ht="13.5" customHeight="1"/>
    <ns0:row r="603" ht="13.5" customHeight="1"/>
    <ns0:row r="604" ht="13.5" customHeight="1"/>
    <ns0:row r="605" ht="13.5" customHeight="1"/>
    <ns0:row r="606" ht="13.5" customHeight="1"/>
    <ns0:row r="607" ht="13.5" customHeight="1"/>
    <ns0:row r="608" ht="13.5" customHeight="1"/>
    <ns0:row r="609" ht="13.5" customHeight="1"/>
    <ns0:row r="610" ht="13.5" customHeight="1"/>
    <ns0:row r="611" ht="13.5" customHeight="1"/>
    <ns0:row r="612" ht="13.5" customHeight="1"/>
    <ns0:row r="613" ht="13.5" customHeight="1"/>
    <ns0:row r="614" ht="13.5" customHeight="1"/>
    <ns0:row r="615" ht="13.5" customHeight="1"/>
    <ns0:row r="616" ht="13.5" customHeight="1"/>
    <ns0:row r="617" ht="13.5" customHeight="1"/>
    <ns0:row r="618" ht="13.5" customHeight="1"/>
    <ns0:row r="619" ht="13.5" customHeight="1"/>
    <ns0:row r="620" ht="13.5" customHeight="1"/>
    <ns0:row r="621" ht="13.5" customHeight="1"/>
    <ns0:row r="622" ht="13.5" customHeight="1"/>
    <ns0:row r="623" ht="13.5" customHeight="1"/>
    <ns0:row r="624" ht="13.5" customHeight="1"/>
    <ns0:row r="625" ht="13.5" customHeight="1"/>
    <ns0:row r="626" ht="13.5" customHeight="1"/>
    <ns0:row r="627" ht="13.5" customHeight="1"/>
    <ns0:row r="628" ht="13.5" customHeight="1"/>
    <ns0:row r="629" ht="13.5" customHeight="1"/>
    <ns0:row r="630" ht="13.5" customHeight="1"/>
    <ns0:row r="631" ht="13.5" customHeight="1"/>
    <ns0:row r="632" ht="13.5" customHeight="1"/>
    <ns0:row r="633" ht="13.5" customHeight="1"/>
    <ns0:row r="634" ht="13.5" customHeight="1"/>
    <ns0:row r="635" ht="13.5" customHeight="1"/>
    <ns0:row r="636" ht="13.5" customHeight="1"/>
    <ns0:row r="637" ht="13.5" customHeight="1"/>
    <ns0:row r="638" ht="13.5" customHeight="1"/>
    <ns0:row r="639" ht="13.5" customHeight="1"/>
    <ns0:row r="640" ht="13.5" customHeight="1"/>
    <ns0:row r="641" ht="13.5" customHeight="1"/>
    <ns0:row r="642" ht="13.5" customHeight="1"/>
    <ns0:row r="643" ht="13.5" customHeight="1"/>
    <ns0:row r="644" ht="13.5" customHeight="1"/>
    <ns0:row r="645" ht="13.5" customHeight="1"/>
    <ns0:row r="646" ht="13.5" customHeight="1"/>
    <ns0:row r="647" ht="13.5" customHeight="1"/>
    <ns0:row r="648" ht="13.5" customHeight="1"/>
    <ns0:row r="649" ht="13.5" customHeight="1"/>
    <ns0:row r="650" ht="13.5" customHeight="1"/>
    <ns0:row r="651" ht="13.5" customHeight="1"/>
    <ns0:row r="652" ht="13.5" customHeight="1"/>
    <ns0:row r="653" ht="13.5" customHeight="1"/>
    <ns0:row r="654" ht="13.5" customHeight="1"/>
    <ns0:row r="655" ht="13.5" customHeight="1"/>
    <ns0:row r="656" ht="13.5" customHeight="1"/>
    <ns0:row r="657" ht="13.5" customHeight="1"/>
    <ns0:row r="658" ht="13.5" customHeight="1"/>
    <ns0:row r="659" ht="13.5" customHeight="1"/>
    <ns0:row r="660" ht="13.5" customHeight="1"/>
    <ns0:row r="661" ht="13.5" customHeight="1"/>
    <ns0:row r="662" ht="13.5" customHeight="1"/>
    <ns0:row r="663" ht="13.5" customHeight="1"/>
    <ns0:row r="664" ht="13.5" customHeight="1"/>
    <ns0:row r="665" ht="13.5" customHeight="1"/>
    <ns0:row r="666" ht="13.5" customHeight="1"/>
    <ns0:row r="667" ht="13.5" customHeight="1"/>
    <ns0:row r="668" ht="13.5" customHeight="1"/>
    <ns0:row r="669" ht="13.5" customHeight="1"/>
    <ns0:row r="670" ht="13.5" customHeight="1"/>
    <ns0:row r="671" ht="13.5" customHeight="1"/>
    <ns0:row r="672" ht="13.5" customHeight="1"/>
    <ns0:row r="673" ht="13.5" customHeight="1"/>
    <ns0:row r="674" ht="13.5" customHeight="1"/>
    <ns0:row r="675" ht="13.5" customHeight="1"/>
    <ns0:row r="676" ht="13.5" customHeight="1"/>
    <ns0:row r="677" ht="13.5" customHeight="1"/>
    <ns0:row r="678" ht="13.5" customHeight="1"/>
    <ns0:row r="679" ht="13.5" customHeight="1"/>
    <ns0:row r="680" ht="13.5" customHeight="1"/>
    <ns0:row r="681" ht="13.5" customHeight="1"/>
    <ns0:row r="682" ht="13.5" customHeight="1"/>
    <ns0:row r="683" ht="13.5" customHeight="1"/>
    <ns0:row r="684" ht="13.5" customHeight="1"/>
    <ns0:row r="685" ht="13.5" customHeight="1"/>
    <ns0:row r="686" ht="13.5" customHeight="1"/>
    <ns0:row r="687" ht="13.5" customHeight="1"/>
    <ns0:row r="688" ht="13.5" customHeight="1"/>
    <ns0:row r="689" ht="13.5" customHeight="1"/>
    <ns0:row r="690" ht="13.5" customHeight="1"/>
    <ns0:row r="691" ht="13.5" customHeight="1"/>
    <ns0:row r="692" ht="13.5" customHeight="1"/>
    <ns0:row r="693" ht="13.5" customHeight="1"/>
    <ns0:row r="694" ht="13.5" customHeight="1"/>
    <ns0:row r="695" ht="13.5" customHeight="1"/>
    <ns0:row r="696" ht="13.5" customHeight="1"/>
    <ns0:row r="697" ht="13.5" customHeight="1"/>
    <ns0:row r="698" ht="13.5" customHeight="1"/>
    <ns0:row r="699" ht="13.5" customHeight="1"/>
    <ns0:row r="700" ht="13.5" customHeight="1"/>
    <ns0:row r="701" ht="13.5" customHeight="1"/>
    <ns0:row r="702" ht="13.5" customHeight="1"/>
    <ns0:row r="703" ht="13.5" customHeight="1"/>
    <ns0:row r="704" ht="13.5" customHeight="1"/>
    <ns0:row r="705" ht="13.5" customHeight="1"/>
    <ns0:row r="706" ht="13.5" customHeight="1"/>
    <ns0:row r="707" ht="13.5" customHeight="1"/>
    <ns0:row r="708" ht="13.5" customHeight="1"/>
    <ns0:row r="709" ht="13.5" customHeight="1"/>
    <ns0:row r="710" ht="13.5" customHeight="1"/>
    <ns0:row r="711" ht="13.5" customHeight="1"/>
    <ns0:row r="712" ht="13.5" customHeight="1"/>
    <ns0:row r="713" ht="13.5" customHeight="1"/>
    <ns0:row r="714" ht="13.5" customHeight="1"/>
    <ns0:row r="715" ht="13.5" customHeight="1"/>
    <ns0:row r="716" ht="13.5" customHeight="1"/>
    <ns0:row r="717" ht="13.5" customHeight="1"/>
    <ns0:row r="718" ht="13.5" customHeight="1"/>
    <ns0:row r="719" ht="13.5" customHeight="1"/>
    <ns0:row r="720" ht="13.5" customHeight="1"/>
    <ns0:row r="721" ht="13.5" customHeight="1"/>
    <ns0:row r="722" ht="13.5" customHeight="1"/>
    <ns0:row r="723" ht="13.5" customHeight="1"/>
    <ns0:row r="724" ht="13.5" customHeight="1"/>
    <ns0:row r="725" ht="13.5" customHeight="1"/>
    <ns0:row r="726" ht="13.5" customHeight="1"/>
    <ns0:row r="727" ht="13.5" customHeight="1"/>
    <ns0:row r="728" ht="13.5" customHeight="1"/>
    <ns0:row r="729" ht="13.5" customHeight="1"/>
    <ns0:row r="730" ht="13.5" customHeight="1"/>
    <ns0:row r="731" ht="13.5" customHeight="1"/>
    <ns0:row r="732" ht="13.5" customHeight="1"/>
    <ns0:row r="733" ht="13.5" customHeight="1"/>
    <ns0:row r="734" ht="13.5" customHeight="1"/>
    <ns0:row r="735" ht="13.5" customHeight="1"/>
    <ns0:row r="736" ht="13.5" customHeight="1"/>
    <ns0:row r="737" ht="13.5" customHeight="1"/>
    <ns0:row r="738" ht="13.5" customHeight="1"/>
    <ns0:row r="739" ht="13.5" customHeight="1"/>
    <ns0:row r="740" ht="13.5" customHeight="1"/>
    <ns0:row r="741" ht="13.5" customHeight="1"/>
    <ns0:row r="742" ht="13.5" customHeight="1"/>
    <ns0:row r="743" ht="13.5" customHeight="1"/>
    <ns0:row r="744" ht="13.5" customHeight="1"/>
    <ns0:row r="745" ht="13.5" customHeight="1"/>
    <ns0:row r="746" ht="13.5" customHeight="1"/>
    <ns0:row r="747" ht="13.5" customHeight="1"/>
    <ns0:row r="748" ht="13.5" customHeight="1"/>
    <ns0:row r="749" ht="13.5" customHeight="1"/>
    <ns0:row r="750" ht="13.5" customHeight="1"/>
    <ns0:row r="751" ht="13.5" customHeight="1"/>
    <ns0:row r="752" ht="13.5" customHeight="1"/>
    <ns0:row r="753" ht="13.5" customHeight="1"/>
    <ns0:row r="754" ht="13.5" customHeight="1"/>
    <ns0:row r="755" ht="13.5" customHeight="1"/>
    <ns0:row r="756" ht="13.5" customHeight="1"/>
    <ns0:row r="757" ht="13.5" customHeight="1"/>
    <ns0:row r="758" ht="13.5" customHeight="1"/>
    <ns0:row r="759" ht="13.5" customHeight="1"/>
    <ns0:row r="760" ht="13.5" customHeight="1"/>
    <ns0:row r="761" ht="13.5" customHeight="1"/>
    <ns0:row r="762" ht="13.5" customHeight="1"/>
    <ns0:row r="763" ht="13.5" customHeight="1"/>
    <ns0:row r="764" ht="13.5" customHeight="1"/>
    <ns0:row r="765" ht="13.5" customHeight="1"/>
    <ns0:row r="766" ht="13.5" customHeight="1"/>
    <ns0:row r="767" ht="13.5" customHeight="1"/>
    <ns0:row r="768" ht="13.5" customHeight="1"/>
    <ns0:row r="769" ht="13.5" customHeight="1"/>
    <ns0:row r="770" ht="13.5" customHeight="1"/>
    <ns0:row r="771" ht="13.5" customHeight="1"/>
    <ns0:row r="772" ht="13.5" customHeight="1"/>
    <ns0:row r="773" ht="13.5" customHeight="1"/>
    <ns0:row r="774" ht="13.5" customHeight="1"/>
    <ns0:row r="775" ht="13.5" customHeight="1"/>
    <ns0:row r="776" ht="13.5" customHeight="1"/>
    <ns0:row r="777" ht="13.5" customHeight="1"/>
    <ns0:row r="778" ht="13.5" customHeight="1"/>
    <ns0:row r="779" ht="13.5" customHeight="1"/>
    <ns0:row r="780" ht="13.5" customHeight="1"/>
    <ns0:row r="781" ht="13.5" customHeight="1"/>
    <ns0:row r="782" ht="13.5" customHeight="1"/>
    <ns0:row r="783" ht="13.5" customHeight="1"/>
    <ns0:row r="784" ht="13.5" customHeight="1"/>
    <ns0:row r="785" ht="13.5" customHeight="1"/>
    <ns0:row r="786" ht="13.5" customHeight="1"/>
    <ns0:row r="787" ht="13.5" customHeight="1"/>
    <ns0:row r="788" ht="13.5" customHeight="1"/>
    <ns0:row r="789" ht="13.5" customHeight="1"/>
    <ns0:row r="790" ht="13.5" customHeight="1"/>
    <ns0:row r="791" ht="13.5" customHeight="1"/>
    <ns0:row r="792" ht="13.5" customHeight="1"/>
    <ns0:row r="793" ht="13.5" customHeight="1"/>
    <ns0:row r="794" ht="13.5" customHeight="1"/>
    <ns0:row r="795" ht="13.5" customHeight="1"/>
    <ns0:row r="796" ht="13.5" customHeight="1"/>
    <ns0:row r="797" ht="13.5" customHeight="1"/>
    <ns0:row r="798" ht="13.5" customHeight="1"/>
    <ns0:row r="799" ht="13.5" customHeight="1"/>
    <ns0:row r="800" ht="13.5" customHeight="1"/>
    <ns0:row r="801" ht="13.5" customHeight="1"/>
    <ns0:row r="802" ht="13.5" customHeight="1"/>
    <ns0:row r="803" ht="13.5" customHeight="1"/>
    <ns0:row r="804" ht="13.5" customHeight="1"/>
    <ns0:row r="805" ht="13.5" customHeight="1"/>
    <ns0:row r="806" ht="13.5" customHeight="1"/>
    <ns0:row r="807" ht="13.5" customHeight="1"/>
    <ns0:row r="808" ht="13.5" customHeight="1"/>
    <ns0:row r="809" ht="13.5" customHeight="1"/>
    <ns0:row r="810" ht="13.5" customHeight="1"/>
    <ns0:row r="811" ht="13.5" customHeight="1"/>
    <ns0:row r="812" ht="13.5" customHeight="1"/>
    <ns0:row r="813" ht="13.5" customHeight="1"/>
    <ns0:row r="814" ht="13.5" customHeight="1"/>
    <ns0:row r="815" ht="13.5" customHeight="1"/>
    <ns0:row r="816" ht="13.5" customHeight="1"/>
    <ns0:row r="817" ht="13.5" customHeight="1"/>
    <ns0:row r="818" ht="13.5" customHeight="1"/>
    <ns0:row r="819" ht="13.5" customHeight="1"/>
    <ns0:row r="820" ht="13.5" customHeight="1"/>
    <ns0:row r="821" ht="13.5" customHeight="1"/>
    <ns0:row r="822" ht="13.5" customHeight="1"/>
    <ns0:row r="823" ht="13.5" customHeight="1"/>
    <ns0:row r="824" ht="13.5" customHeight="1"/>
    <ns0:row r="825" ht="13.5" customHeight="1"/>
    <ns0:row r="826" ht="13.5" customHeight="1"/>
    <ns0:row r="827" ht="13.5" customHeight="1"/>
    <ns0:row r="828" ht="13.5" customHeight="1"/>
    <ns0:row r="829" ht="13.5" customHeight="1"/>
    <ns0:row r="830" ht="13.5" customHeight="1"/>
    <ns0:row r="831" ht="13.5" customHeight="1"/>
    <ns0:row r="832" ht="13.5" customHeight="1"/>
    <ns0:row r="833" ht="13.5" customHeight="1"/>
    <ns0:row r="834" ht="13.5" customHeight="1"/>
    <ns0:row r="835" ht="13.5" customHeight="1"/>
    <ns0:row r="836" ht="13.5" customHeight="1"/>
    <ns0:row r="837" ht="13.5" customHeight="1"/>
    <ns0:row r="838" ht="13.5" customHeight="1"/>
    <ns0:row r="839" ht="13.5" customHeight="1"/>
    <ns0:row r="840" ht="13.5" customHeight="1"/>
    <ns0:row r="841" ht="13.5" customHeight="1"/>
    <ns0:row r="842" ht="13.5" customHeight="1"/>
    <ns0:row r="843" ht="13.5" customHeight="1"/>
    <ns0:row r="844" ht="13.5" customHeight="1"/>
    <ns0:row r="845" ht="13.5" customHeight="1"/>
    <ns0:row r="846" ht="13.5" customHeight="1"/>
    <ns0:row r="847" ht="13.5" customHeight="1"/>
    <ns0:row r="848" ht="13.5" customHeight="1"/>
    <ns0:row r="849" ht="13.5" customHeight="1"/>
    <ns0:row r="850" ht="13.5" customHeight="1"/>
    <ns0:row r="851" ht="13.5" customHeight="1"/>
    <ns0:row r="852" ht="13.5" customHeight="1"/>
    <ns0:row r="853" ht="13.5" customHeight="1"/>
    <ns0:row r="854" ht="13.5" customHeight="1"/>
    <ns0:row r="855" ht="13.5" customHeight="1"/>
    <ns0:row r="856" ht="13.5" customHeight="1"/>
    <ns0:row r="857" ht="13.5" customHeight="1"/>
    <ns0:row r="858" ht="13.5" customHeight="1"/>
    <ns0:row r="859" ht="13.5" customHeight="1"/>
    <ns0:row r="860" ht="13.5" customHeight="1"/>
    <ns0:row r="861" ht="13.5" customHeight="1"/>
    <ns0:row r="862" ht="13.5" customHeight="1"/>
    <ns0:row r="863" ht="13.5" customHeight="1"/>
    <ns0:row r="864" ht="13.5" customHeight="1"/>
    <ns0:row r="865" ht="13.5" customHeight="1"/>
    <ns0:row r="866" ht="13.5" customHeight="1"/>
    <ns0:row r="867" ht="13.5" customHeight="1"/>
    <ns0:row r="868" ht="13.5" customHeight="1"/>
    <ns0:row r="869" ht="13.5" customHeight="1"/>
    <ns0:row r="870" ht="13.5" customHeight="1"/>
    <ns0:row r="871" ht="13.5" customHeight="1"/>
    <ns0:row r="872" ht="13.5" customHeight="1"/>
    <ns0:row r="873" ht="13.5" customHeight="1"/>
    <ns0:row r="874" ht="13.5" customHeight="1"/>
    <ns0:row r="875" ht="13.5" customHeight="1"/>
    <ns0:row r="876" ht="13.5" customHeight="1"/>
    <ns0:row r="877" ht="13.5" customHeight="1"/>
    <ns0:row r="878" ht="13.5" customHeight="1"/>
    <ns0:row r="879" ht="13.5" customHeight="1"/>
    <ns0:row r="880" ht="13.5" customHeight="1"/>
    <ns0:row r="881" ht="13.5" customHeight="1"/>
    <ns0:row r="882" ht="13.5" customHeight="1"/>
    <ns0:row r="883" ht="13.5" customHeight="1"/>
    <ns0:row r="884" ht="13.5" customHeight="1"/>
    <ns0:row r="885" ht="13.5" customHeight="1"/>
    <ns0:row r="886" ht="13.5" customHeight="1"/>
    <ns0:row r="887" ht="13.5" customHeight="1"/>
    <ns0:row r="888" ht="13.5" customHeight="1"/>
    <ns0:row r="889" ht="13.5" customHeight="1"/>
    <ns0:row r="890" ht="13.5" customHeight="1"/>
    <ns0:row r="891" ht="13.5" customHeight="1"/>
    <ns0:row r="892" ht="13.5" customHeight="1"/>
    <ns0:row r="893" ht="13.5" customHeight="1"/>
    <ns0:row r="894" ht="13.5" customHeight="1"/>
    <ns0:row r="895" ht="13.5" customHeight="1"/>
    <ns0:row r="896" ht="13.5" customHeight="1"/>
    <ns0:row r="897" ht="13.5" customHeight="1"/>
    <ns0:row r="898" ht="13.5" customHeight="1"/>
    <ns0:row r="899" ht="13.5" customHeight="1"/>
    <ns0:row r="900" ht="13.5" customHeight="1"/>
    <ns0:row r="901" ht="13.5" customHeight="1"/>
    <ns0:row r="902" ht="13.5" customHeight="1"/>
    <ns0:row r="903" ht="13.5" customHeight="1"/>
    <ns0:row r="904" ht="13.5" customHeight="1"/>
    <ns0:row r="905" ht="13.5" customHeight="1"/>
    <ns0:row r="906" ht="13.5" customHeight="1"/>
    <ns0:row r="907" ht="13.5" customHeight="1"/>
    <ns0:row r="908" ht="13.5" customHeight="1"/>
    <ns0:row r="909" ht="13.5" customHeight="1"/>
    <ns0:row r="910" ht="13.5" customHeight="1"/>
    <ns0:row r="911" ht="13.5" customHeight="1"/>
    <ns0:row r="912" ht="13.5" customHeight="1"/>
    <ns0:row r="913" ht="13.5" customHeight="1"/>
    <ns0:row r="914" ht="13.5" customHeight="1"/>
    <ns0:row r="915" ht="13.5" customHeight="1"/>
    <ns0:row r="916" ht="13.5" customHeight="1"/>
    <ns0:row r="917" ht="13.5" customHeight="1"/>
    <ns0:row r="918" ht="13.5" customHeight="1"/>
    <ns0:row r="919" ht="13.5" customHeight="1"/>
    <ns0:row r="920" ht="13.5" customHeight="1"/>
    <ns0:row r="921" ht="13.5" customHeight="1"/>
    <ns0:row r="922" ht="13.5" customHeight="1"/>
    <ns0:row r="923" ht="13.5" customHeight="1"/>
    <ns0:row r="924" ht="13.5" customHeight="1"/>
    <ns0:row r="925" ht="13.5" customHeight="1"/>
    <ns0:row r="926" ht="13.5" customHeight="1"/>
    <ns0:row r="927" ht="13.5" customHeight="1"/>
    <ns0:row r="928" ht="13.5" customHeight="1"/>
    <ns0:row r="929" ht="13.5" customHeight="1"/>
    <ns0:row r="930" ht="13.5" customHeight="1"/>
    <ns0:row r="931" ht="13.5" customHeight="1"/>
    <ns0:row r="932" ht="13.5" customHeight="1"/>
    <ns0:row r="933" ht="13.5" customHeight="1"/>
    <ns0:row r="934" ht="13.5" customHeight="1"/>
    <ns0:row r="935" ht="13.5" customHeight="1"/>
    <ns0:row r="936" ht="13.5" customHeight="1"/>
    <ns0:row r="937" ht="13.5" customHeight="1"/>
    <ns0:row r="938" ht="13.5" customHeight="1"/>
    <ns0:row r="939" ht="13.5" customHeight="1"/>
    <ns0:row r="940" ht="13.5" customHeight="1"/>
    <ns0:row r="941" ht="13.5" customHeight="1"/>
    <ns0:row r="942" ht="13.5" customHeight="1"/>
    <ns0:row r="943" ht="13.5" customHeight="1"/>
    <ns0:row r="944" ht="13.5" customHeight="1"/>
    <ns0:row r="945" ht="13.5" customHeight="1"/>
    <ns0:row r="946" ht="13.5" customHeight="1"/>
    <ns0:row r="947" ht="13.5" customHeight="1"/>
    <ns0:row r="948" ht="13.5" customHeight="1"/>
    <ns0:row r="949" ht="13.5" customHeight="1"/>
    <ns0:row r="950" ht="13.5" customHeight="1"/>
    <ns0:row r="951" ht="13.5" customHeight="1"/>
    <ns0:row r="952" ht="13.5" customHeight="1"/>
    <ns0:row r="953" ht="13.5" customHeight="1"/>
    <ns0:row r="954" ht="13.5" customHeight="1"/>
    <ns0:row r="955" ht="13.5" customHeight="1"/>
    <ns0:row r="956" ht="13.5" customHeight="1"/>
    <ns0:row r="957" ht="13.5" customHeight="1"/>
    <ns0:row r="958" ht="13.5" customHeight="1"/>
    <ns0:row r="959" ht="13.5" customHeight="1"/>
    <ns0:row r="960" ht="13.5" customHeight="1"/>
    <ns0:row r="961" ht="13.5" customHeight="1"/>
    <ns0:row r="962" ht="13.5" customHeight="1"/>
    <ns0:row r="963" ht="13.5" customHeight="1"/>
    <ns0:row r="964" ht="13.5" customHeight="1"/>
    <ns0:row r="965" ht="13.5" customHeight="1"/>
    <ns0:row r="966" ht="13.5" customHeight="1"/>
    <ns0:row r="967" ht="13.5" customHeight="1"/>
    <ns0:row r="968" ht="13.5" customHeight="1"/>
    <ns0:row r="969" ht="13.5" customHeight="1"/>
    <ns0:row r="970" ht="13.5" customHeight="1"/>
    <ns0:row r="971" ht="13.5" customHeight="1"/>
    <ns0:row r="972" ht="13.5" customHeight="1"/>
    <ns0:row r="973" ht="13.5" customHeight="1"/>
    <ns0:row r="974" ht="13.5" customHeight="1"/>
    <ns0:row r="975" ht="13.5" customHeight="1"/>
    <ns0:row r="976" ht="13.5" customHeight="1"/>
    <ns0:row r="977" ht="13.5" customHeight="1"/>
    <ns0:row r="978" ht="13.5" customHeight="1"/>
    <ns0:row r="979" ht="13.5" customHeight="1"/>
    <ns0:row r="980" ht="13.5" customHeight="1"/>
    <ns0:row r="981" ht="13.5" customHeight="1"/>
    <ns0:row r="982" ht="13.5" customHeight="1"/>
    <ns0:row r="983" ht="13.5" customHeight="1"/>
    <ns0:row r="984" ht="13.5" customHeight="1"/>
    <ns0:row r="985" ht="13.5" customHeight="1"/>
    <ns0:row r="986" ht="13.5" customHeight="1"/>
    <ns0:row r="987" ht="13.5" customHeight="1"/>
    <ns0:row r="988" ht="13.5" customHeight="1"/>
    <ns0:row r="989" ht="13.5" customHeight="1"/>
    <ns0:row r="990" ht="13.5" customHeight="1"/>
    <ns0:row r="991" ht="13.5" customHeight="1"/>
    <ns0:row r="992" ht="13.5" customHeight="1"/>
    <ns0:row r="993" ht="13.5" customHeight="1"/>
    <ns0:row r="994" ht="13.5" customHeight="1"/>
    <ns0:row r="995" ht="13.5" customHeight="1"/>
    <ns0:row r="996" ht="13.5" customHeight="1"/>
    <ns0:row r="997" ht="13.5" customHeight="1"/>
    <ns0:row r="998" ht="13.5" customHeight="1"/>
    <ns0:row r="999" ht="13.5" customHeight="1"/>
  </ns0:sheetData>
  <ns0:mergeCells>
    <ns0:mergeCell ref="Q4:R4"/>
    <ns0:mergeCell ref="Q5:R5"/>
    <ns0:mergeCell ref="Q6:R6"/>
    <ns0:mergeCell ref="Q7:R7"/>
    <ns0:mergeCell ref="B2:O2"/>
    <ns0:mergeCell ref="Q2:S3"/>
    <ns0:mergeCell ref="B3:O3"/>
    <ns0:mergeCell ref="B5:D5"/>
    <ns0:mergeCell ref="E5:G5"/>
    <ns0:mergeCell ref="H5:J5"/>
    <ns0:mergeCell ref="K5:M5"/>
    <ns0:mergeCell ref="B9:D9"/>
    <ns0:mergeCell ref="B10:D11"/>
    <ns0:mergeCell ref="E10:G11"/>
    <ns0:mergeCell ref="H10:J11"/>
    <ns0:mergeCell ref="K10:M11"/>
    <ns0:mergeCell ref="B13:O13"/>
    <ns0:mergeCell ref="B14:O14"/>
    <ns0:mergeCell ref="B6:D7"/>
    <ns0:mergeCell ref="E6:G7"/>
    <ns0:mergeCell ref="H6:J7"/>
    <ns0:mergeCell ref="K6:M7"/>
    <ns0:mergeCell ref="E9:G9"/>
    <ns0:mergeCell ref="H9:J9"/>
    <ns0:mergeCell ref="K9:M9"/>
  </ns0:mergeCells>
  <ns0:conditionalFormatting sqref="D16:D39">
    <ns0:cfRule type="containsText" dxfId="16" priority="1" operator="containsText" text="Discovery">
      <ns0:formula>NOT(ISERROR(SEARCH(("Discovery"),(D16))))</ns0:formula>
    </ns0:cfRule>
    <ns0:cfRule type="containsText" dxfId="15" priority="2" operator="containsText" text="Qualification">
      <ns0:formula>NOT(ISERROR(SEARCH(("Qualification"),(D16))))</ns0:formula>
    </ns0:cfRule>
    <ns0:cfRule type="containsText" dxfId="14" priority="3" operator="containsText" text="Solution Fit">
      <ns0:formula>NOT(ISERROR(SEARCH(("Solution Fit"),(D16))))</ns0:formula>
    </ns0:cfRule>
    <ns0:cfRule type="containsText" dxfId="13" priority="4" operator="containsText" text="Technical Validation">
      <ns0:formula>NOT(ISERROR(SEARCH(("Technical Validation"),(D16))))</ns0:formula>
    </ns0:cfRule>
    <ns0:cfRule type="containsText" dxfId="12" priority="5" operator="containsText" text="Proposal">
      <ns0:formula>NOT(ISERROR(SEARCH(("Proposal"),(D16))))</ns0:formula>
    </ns0:cfRule>
    <ns0:cfRule type="containsText" dxfId="11" priority="6" operator="containsText" text="Negotiation">
      <ns0:formula>NOT(ISERROR(SEARCH(("Negotiation"),(D16))))</ns0:formula>
    </ns0:cfRule>
    <ns0:cfRule type="containsText" dxfId="10" priority="7" operator="containsText" text="Closed Won">
      <ns0:formula>NOT(ISERROR(SEARCH(("Closed Won"),(D16))))</ns0:formula>
    </ns0:cfRule>
    <ns0:cfRule type="containsText" dxfId="9" priority="8" operator="containsText" text="Closed Lost">
      <ns0:formula>NOT(ISERROR(SEARCH(("Closed Lost"),(D16))))</ns0:formula>
    </ns0:cfRule>
  </ns0:conditionalFormatting>
  <ns0:conditionalFormatting sqref="G16:G39">
    <ns0:cfRule type="containsText" dxfId="8" priority="9" operator="containsText" text="Commit">
      <ns0:formula>NOT(ISERROR(SEARCH(("Commit"),(G16))))</ns0:formula>
    </ns0:cfRule>
    <ns0:cfRule type="containsText" dxfId="7" priority="10" operator="containsText" text="Best Case">
      <ns0:formula>NOT(ISERROR(SEARCH(("Best Case"),(G16))))</ns0:formula>
    </ns0:cfRule>
    <ns0:cfRule type="containsText" dxfId="6" priority="11" operator="containsText" text="Pipeline">
      <ns0:formula>NOT(ISERROR(SEARCH(("Pipeline"),(G16))))</ns0:formula>
    </ns0:cfRule>
  </ns0:conditionalFormatting>
  <ns0:conditionalFormatting sqref="J16:J39">
    <ns0:cfRule type="containsText" dxfId="5" priority="12" operator="containsText" text="STALE">
      <ns0:formula>NOT(ISERROR(SEARCH(("STALE"),(J16))))</ns0:formula>
    </ns0:cfRule>
    <ns0:cfRule type="containsText" dxfId="4" priority="13" operator="containsText" text="Current">
      <ns0:formula>NOT(ISERROR(SEARCH(("Current"),(J16))))</ns0:formula>
    </ns0:cfRule>
    <ns0:cfRule type="containsText" dxfId="3" priority="14" operator="containsText" text="Closed">
      <ns0:formula>NOT(ISERROR(SEARCH(("Closed"),(J16))))</ns0:formula>
    </ns0:cfRule>
  </ns0:conditionalFormatting>
  <ns0:conditionalFormatting sqref="N16:N39">
    <ns0:cfRule type="containsText" dxfId="2" priority="15" operator="containsText" text="High">
      <ns0:formula>NOT(ISERROR(SEARCH(("High"),(N16))))</ns0:formula>
    </ns0:cfRule>
    <ns0:cfRule type="containsText" dxfId="1" priority="16" operator="containsText" text="Medium">
      <ns0:formula>NOT(ISERROR(SEARCH(("Medium"),(N16))))</ns0:formula>
    </ns0:cfRule>
    <ns0:cfRule type="containsText" dxfId="0" priority="17" operator="containsText" text="Low">
      <ns0:formula>NOT(ISERROR(SEARCH(("Low"),(N16))))</ns0:formula>
    </ns0:cfRule>
  </ns0:conditionalFormatting>
  <ns0:conditionalFormatting sqref="O16:O115">
    <ns0:cfRule type="expression" dxfId="17" priority="18">
      <ns0:formula>AND($O16&lt;&gt;"",$O16&lt;&gt;"Listo")</ns0:formula>
    </ns0:cfRule>
  </ns0:conditionalFormatting>
  <ns0:dataValidations count="5">
    <ns0:dataValidation type="list" sqref="D16:D115">
      <ns0:formula1>'Gastos Hongus'!$Q$11:$Q$22</ns0:formula1>
    </ns0:dataValidation>
    <ns0:dataValidation type="list" sqref="F16:F115">
      <ns0:formula1>"MXN,USD"</ns0:formula1>
    </ns0:dataValidation>
    <ns0:dataValidation type="list" sqref="J16:J115">
      <ns0:formula1>"Pagado,Pendiente"</ns0:formula1>
    </ns0:dataValidation>
    <ns0:dataValidation type="list" sqref="K16:K115">
      <ns0:formula1>"Transferencia,Tarjeta,Efectivo,PayPal,Otro"</ns0:formula1>
    </ns0:dataValidation>
    <ns0:dataValidation type="whole" operator="between" sqref="S4">
      <ns0:formula1>2000</ns0:formula1>
      <ns0:formula2>2100</ns0:formula2>
    </ns0:dataValidation>
  </ns0:dataValidations>
  <ns0:pageMargins left="0.7" right="0.7" top="0.75" bottom="0.75" header="0.3" footer="0.3"/>
  <ns0:tableParts count="1">
    <ns0:tablePart ns1:id="Ra7e222e6f88a4ecd"/>
  </ns0:tableParts>
</ns0:worksheet>
</file>